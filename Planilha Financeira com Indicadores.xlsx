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9DA6DA2A-0079-46E5-B5B8-4F063F832E5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C" sheetId="1" r:id="rId1"/>
    <sheet name="DRE" sheetId="2" r:id="rId2"/>
    <sheet name="BP" sheetId="3" r:id="rId3"/>
    <sheet name="Indicadores" sheetId="4" r:id="rId4"/>
  </sheets>
  <definedNames>
    <definedName name="Despesas_Administrativas">#REF!</definedName>
    <definedName name="Despesas_Com_RH">#REF!</definedName>
    <definedName name="Despesas_Comerciais">#REF!</definedName>
    <definedName name="Despesas_Endividamentos">#REF!</definedName>
    <definedName name="Despesas_Impostos">#REF!</definedName>
    <definedName name="Despesas_Investimentos">#REF!</definedName>
    <definedName name="Despesas_N_Operacionais">#REF!</definedName>
    <definedName name="Despesas_Operacionais">#REF!</definedName>
    <definedName name="LISTA_CLIENTES">OFFSET(#REF!,0,0,COUNTA(#REF!),1)</definedName>
    <definedName name="LISTA_FORNECEDORES">OFFSET(#REF!,0,0,COUNTA(#REF!),1)</definedName>
    <definedName name="Plano_de_contas">#REF!</definedName>
    <definedName name="Receitas_N_Operacionais">#REF!</definedName>
    <definedName name="Receitas_Operacionai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C43" i="3"/>
  <c r="B43" i="3"/>
  <c r="D39" i="3"/>
  <c r="C39" i="3"/>
  <c r="B39" i="3"/>
  <c r="D32" i="3"/>
  <c r="D22" i="4" s="1"/>
  <c r="C32" i="3"/>
  <c r="C23" i="4" s="1"/>
  <c r="B32" i="3"/>
  <c r="B23" i="4" s="1"/>
  <c r="D24" i="3"/>
  <c r="C24" i="3"/>
  <c r="B24" i="3"/>
  <c r="D15" i="3"/>
  <c r="D8" i="3" s="1"/>
  <c r="D25" i="4" s="1"/>
  <c r="C15" i="3"/>
  <c r="B15" i="3"/>
  <c r="D12" i="3"/>
  <c r="C12" i="3"/>
  <c r="B12" i="3"/>
  <c r="D9" i="3"/>
  <c r="C9" i="3"/>
  <c r="C8" i="3" s="1"/>
  <c r="C25" i="4" s="1"/>
  <c r="B9" i="3"/>
  <c r="B8" i="3" s="1"/>
  <c r="B25" i="4" s="1"/>
  <c r="D4" i="3"/>
  <c r="B34" i="4" s="1"/>
  <c r="C4" i="3"/>
  <c r="C19" i="4" s="1"/>
  <c r="B4" i="3"/>
  <c r="B19" i="4" s="1"/>
  <c r="AM189" i="2"/>
  <c r="AK189" i="2"/>
  <c r="AJ189" i="2"/>
  <c r="AG189" i="2"/>
  <c r="AD189" i="2"/>
  <c r="AA189" i="2"/>
  <c r="X189" i="2"/>
  <c r="U189" i="2"/>
  <c r="R189" i="2"/>
  <c r="O189" i="2"/>
  <c r="L189" i="2"/>
  <c r="I189" i="2"/>
  <c r="F189" i="2"/>
  <c r="AM188" i="2"/>
  <c r="AK188" i="2"/>
  <c r="AJ188" i="2"/>
  <c r="AG188" i="2"/>
  <c r="AD188" i="2"/>
  <c r="AA188" i="2"/>
  <c r="X188" i="2"/>
  <c r="U188" i="2"/>
  <c r="R188" i="2"/>
  <c r="O188" i="2"/>
  <c r="L188" i="2"/>
  <c r="I188" i="2"/>
  <c r="F188" i="2"/>
  <c r="AM187" i="2"/>
  <c r="AK187" i="2"/>
  <c r="AJ187" i="2"/>
  <c r="AG187" i="2"/>
  <c r="AD187" i="2"/>
  <c r="AA187" i="2"/>
  <c r="X187" i="2"/>
  <c r="U187" i="2"/>
  <c r="R187" i="2"/>
  <c r="O187" i="2"/>
  <c r="L187" i="2"/>
  <c r="I187" i="2"/>
  <c r="F187" i="2"/>
  <c r="AH186" i="2"/>
  <c r="AE186" i="2"/>
  <c r="AB186" i="2"/>
  <c r="Y186" i="2"/>
  <c r="V186" i="2"/>
  <c r="S186" i="2"/>
  <c r="P186" i="2"/>
  <c r="M186" i="2"/>
  <c r="J186" i="2"/>
  <c r="G186" i="2"/>
  <c r="I186" i="2" s="1"/>
  <c r="D186" i="2"/>
  <c r="B186" i="2"/>
  <c r="AM185" i="2"/>
  <c r="AK185" i="2"/>
  <c r="AJ185" i="2"/>
  <c r="AG185" i="2"/>
  <c r="AD185" i="2"/>
  <c r="AA185" i="2"/>
  <c r="X185" i="2"/>
  <c r="U185" i="2"/>
  <c r="R185" i="2"/>
  <c r="O185" i="2"/>
  <c r="L185" i="2"/>
  <c r="I185" i="2"/>
  <c r="F185" i="2"/>
  <c r="AM184" i="2"/>
  <c r="AK184" i="2"/>
  <c r="AJ184" i="2"/>
  <c r="AG184" i="2"/>
  <c r="AD184" i="2"/>
  <c r="AA184" i="2"/>
  <c r="X184" i="2"/>
  <c r="U184" i="2"/>
  <c r="R184" i="2"/>
  <c r="O184" i="2"/>
  <c r="L184" i="2"/>
  <c r="I184" i="2"/>
  <c r="F184" i="2"/>
  <c r="AM183" i="2"/>
  <c r="AK183" i="2"/>
  <c r="AJ183" i="2"/>
  <c r="AG183" i="2"/>
  <c r="AD183" i="2"/>
  <c r="AA183" i="2"/>
  <c r="X183" i="2"/>
  <c r="U183" i="2"/>
  <c r="R183" i="2"/>
  <c r="O183" i="2"/>
  <c r="L183" i="2"/>
  <c r="I183" i="2"/>
  <c r="F183" i="2"/>
  <c r="AM182" i="2"/>
  <c r="AK182" i="2"/>
  <c r="AJ182" i="2"/>
  <c r="AG182" i="2"/>
  <c r="AD182" i="2"/>
  <c r="AA182" i="2"/>
  <c r="X182" i="2"/>
  <c r="U182" i="2"/>
  <c r="R182" i="2"/>
  <c r="O182" i="2"/>
  <c r="L182" i="2"/>
  <c r="I182" i="2"/>
  <c r="F182" i="2"/>
  <c r="AH181" i="2"/>
  <c r="AE181" i="2"/>
  <c r="AB181" i="2"/>
  <c r="Y181" i="2"/>
  <c r="V181" i="2"/>
  <c r="S181" i="2"/>
  <c r="P181" i="2"/>
  <c r="M181" i="2"/>
  <c r="J181" i="2"/>
  <c r="G181" i="2"/>
  <c r="D181" i="2"/>
  <c r="B181" i="2"/>
  <c r="AM180" i="2"/>
  <c r="AK180" i="2"/>
  <c r="AJ180" i="2"/>
  <c r="AG180" i="2"/>
  <c r="AD180" i="2"/>
  <c r="AA180" i="2"/>
  <c r="X180" i="2"/>
  <c r="U180" i="2"/>
  <c r="R180" i="2"/>
  <c r="O180" i="2"/>
  <c r="L180" i="2"/>
  <c r="I180" i="2"/>
  <c r="F180" i="2"/>
  <c r="AM179" i="2"/>
  <c r="AK179" i="2"/>
  <c r="AJ179" i="2"/>
  <c r="AG179" i="2"/>
  <c r="AD179" i="2"/>
  <c r="AA179" i="2"/>
  <c r="X179" i="2"/>
  <c r="U179" i="2"/>
  <c r="R179" i="2"/>
  <c r="O179" i="2"/>
  <c r="L179" i="2"/>
  <c r="I179" i="2"/>
  <c r="F179" i="2"/>
  <c r="AM178" i="2"/>
  <c r="AK178" i="2"/>
  <c r="AJ178" i="2"/>
  <c r="AG178" i="2"/>
  <c r="AD178" i="2"/>
  <c r="AA178" i="2"/>
  <c r="X178" i="2"/>
  <c r="U178" i="2"/>
  <c r="R178" i="2"/>
  <c r="O178" i="2"/>
  <c r="L178" i="2"/>
  <c r="I178" i="2"/>
  <c r="F178" i="2"/>
  <c r="AM177" i="2"/>
  <c r="AK177" i="2"/>
  <c r="AJ177" i="2"/>
  <c r="AG177" i="2"/>
  <c r="AD177" i="2"/>
  <c r="AA177" i="2"/>
  <c r="X177" i="2"/>
  <c r="U177" i="2"/>
  <c r="R177" i="2"/>
  <c r="O177" i="2"/>
  <c r="L177" i="2"/>
  <c r="I177" i="2"/>
  <c r="F177" i="2"/>
  <c r="AH176" i="2"/>
  <c r="AE176" i="2"/>
  <c r="AG176" i="2" s="1"/>
  <c r="AB176" i="2"/>
  <c r="AD176" i="2" s="1"/>
  <c r="Y176" i="2"/>
  <c r="V176" i="2"/>
  <c r="S176" i="2"/>
  <c r="P176" i="2"/>
  <c r="M176" i="2"/>
  <c r="J176" i="2"/>
  <c r="G176" i="2"/>
  <c r="D176" i="2"/>
  <c r="B176" i="2"/>
  <c r="AM175" i="2"/>
  <c r="AK175" i="2"/>
  <c r="AJ175" i="2"/>
  <c r="AG175" i="2"/>
  <c r="AD175" i="2"/>
  <c r="AA175" i="2"/>
  <c r="X175" i="2"/>
  <c r="U175" i="2"/>
  <c r="R175" i="2"/>
  <c r="O175" i="2"/>
  <c r="L175" i="2"/>
  <c r="I175" i="2"/>
  <c r="F175" i="2"/>
  <c r="AM174" i="2"/>
  <c r="AK174" i="2"/>
  <c r="AJ174" i="2"/>
  <c r="AG174" i="2"/>
  <c r="AD174" i="2"/>
  <c r="AA174" i="2"/>
  <c r="X174" i="2"/>
  <c r="U174" i="2"/>
  <c r="R174" i="2"/>
  <c r="O174" i="2"/>
  <c r="L174" i="2"/>
  <c r="I174" i="2"/>
  <c r="F174" i="2"/>
  <c r="AM173" i="2"/>
  <c r="AK173" i="2"/>
  <c r="AJ173" i="2"/>
  <c r="AG173" i="2"/>
  <c r="AD173" i="2"/>
  <c r="AA173" i="2"/>
  <c r="X173" i="2"/>
  <c r="U173" i="2"/>
  <c r="R173" i="2"/>
  <c r="O173" i="2"/>
  <c r="L173" i="2"/>
  <c r="I173" i="2"/>
  <c r="F173" i="2"/>
  <c r="AM172" i="2"/>
  <c r="AK172" i="2"/>
  <c r="AJ172" i="2"/>
  <c r="AG172" i="2"/>
  <c r="AD172" i="2"/>
  <c r="AA172" i="2"/>
  <c r="X172" i="2"/>
  <c r="U172" i="2"/>
  <c r="R172" i="2"/>
  <c r="O172" i="2"/>
  <c r="L172" i="2"/>
  <c r="I172" i="2"/>
  <c r="F172" i="2"/>
  <c r="AM171" i="2"/>
  <c r="AK171" i="2"/>
  <c r="AJ171" i="2"/>
  <c r="AG171" i="2"/>
  <c r="AD171" i="2"/>
  <c r="AA171" i="2"/>
  <c r="X171" i="2"/>
  <c r="U171" i="2"/>
  <c r="R171" i="2"/>
  <c r="O171" i="2"/>
  <c r="L171" i="2"/>
  <c r="I171" i="2"/>
  <c r="F171" i="2"/>
  <c r="AH170" i="2"/>
  <c r="AE170" i="2"/>
  <c r="AB170" i="2"/>
  <c r="Y170" i="2"/>
  <c r="V170" i="2"/>
  <c r="S170" i="2"/>
  <c r="P170" i="2"/>
  <c r="U170" i="2" s="1"/>
  <c r="M170" i="2"/>
  <c r="M169" i="2" s="1"/>
  <c r="J170" i="2"/>
  <c r="G170" i="2"/>
  <c r="I170" i="2" s="1"/>
  <c r="D170" i="2"/>
  <c r="B170" i="2"/>
  <c r="AM167" i="2"/>
  <c r="AK167" i="2"/>
  <c r="AJ167" i="2"/>
  <c r="AG167" i="2"/>
  <c r="AD167" i="2"/>
  <c r="AA167" i="2"/>
  <c r="X167" i="2"/>
  <c r="U167" i="2"/>
  <c r="R167" i="2"/>
  <c r="O167" i="2"/>
  <c r="L167" i="2"/>
  <c r="I167" i="2"/>
  <c r="F167" i="2"/>
  <c r="AM165" i="2"/>
  <c r="AK165" i="2"/>
  <c r="AJ165" i="2"/>
  <c r="AG165" i="2"/>
  <c r="AD165" i="2"/>
  <c r="AA165" i="2"/>
  <c r="X165" i="2"/>
  <c r="U165" i="2"/>
  <c r="R165" i="2"/>
  <c r="O165" i="2"/>
  <c r="L165" i="2"/>
  <c r="I165" i="2"/>
  <c r="F165" i="2"/>
  <c r="AM161" i="2"/>
  <c r="AK161" i="2"/>
  <c r="AJ161" i="2"/>
  <c r="AG161" i="2"/>
  <c r="AD161" i="2"/>
  <c r="AA161" i="2"/>
  <c r="X161" i="2"/>
  <c r="U161" i="2"/>
  <c r="R161" i="2"/>
  <c r="O161" i="2"/>
  <c r="L161" i="2"/>
  <c r="I161" i="2"/>
  <c r="F161" i="2"/>
  <c r="AM160" i="2"/>
  <c r="AK160" i="2"/>
  <c r="AJ160" i="2"/>
  <c r="AG160" i="2"/>
  <c r="AD160" i="2"/>
  <c r="AA160" i="2"/>
  <c r="X160" i="2"/>
  <c r="U160" i="2"/>
  <c r="R160" i="2"/>
  <c r="O160" i="2"/>
  <c r="L160" i="2"/>
  <c r="I160" i="2"/>
  <c r="F160" i="2"/>
  <c r="AM159" i="2"/>
  <c r="AK159" i="2"/>
  <c r="AJ159" i="2"/>
  <c r="AG159" i="2"/>
  <c r="AD159" i="2"/>
  <c r="AA159" i="2"/>
  <c r="X159" i="2"/>
  <c r="U159" i="2"/>
  <c r="R159" i="2"/>
  <c r="O159" i="2"/>
  <c r="L159" i="2"/>
  <c r="I159" i="2"/>
  <c r="F159" i="2"/>
  <c r="AM158" i="2"/>
  <c r="AK158" i="2"/>
  <c r="AJ158" i="2"/>
  <c r="AG158" i="2"/>
  <c r="AD158" i="2"/>
  <c r="AA158" i="2"/>
  <c r="X158" i="2"/>
  <c r="U158" i="2"/>
  <c r="R158" i="2"/>
  <c r="O158" i="2"/>
  <c r="L158" i="2"/>
  <c r="I158" i="2"/>
  <c r="F158" i="2"/>
  <c r="AM157" i="2"/>
  <c r="AK157" i="2"/>
  <c r="AJ157" i="2"/>
  <c r="AG157" i="2"/>
  <c r="AD157" i="2"/>
  <c r="AA157" i="2"/>
  <c r="X157" i="2"/>
  <c r="U157" i="2"/>
  <c r="R157" i="2"/>
  <c r="O157" i="2"/>
  <c r="L157" i="2"/>
  <c r="I157" i="2"/>
  <c r="F157" i="2"/>
  <c r="AH156" i="2"/>
  <c r="AH151" i="2" s="1"/>
  <c r="AE156" i="2"/>
  <c r="AE166" i="2" s="1"/>
  <c r="AB156" i="2"/>
  <c r="AB151" i="2" s="1"/>
  <c r="Y156" i="2"/>
  <c r="V156" i="2"/>
  <c r="V151" i="2" s="1"/>
  <c r="S156" i="2"/>
  <c r="P156" i="2"/>
  <c r="P166" i="2" s="1"/>
  <c r="M156" i="2"/>
  <c r="J156" i="2"/>
  <c r="G156" i="2"/>
  <c r="G151" i="2" s="1"/>
  <c r="G150" i="2" s="1"/>
  <c r="D156" i="2"/>
  <c r="D166" i="2" s="1"/>
  <c r="B156" i="2"/>
  <c r="B166" i="2" s="1"/>
  <c r="AM155" i="2"/>
  <c r="AK155" i="2"/>
  <c r="AJ155" i="2"/>
  <c r="AG155" i="2"/>
  <c r="AD155" i="2"/>
  <c r="AA155" i="2"/>
  <c r="X155" i="2"/>
  <c r="U155" i="2"/>
  <c r="R155" i="2"/>
  <c r="O155" i="2"/>
  <c r="L155" i="2"/>
  <c r="I155" i="2"/>
  <c r="F155" i="2"/>
  <c r="AM154" i="2"/>
  <c r="AK154" i="2"/>
  <c r="AJ154" i="2"/>
  <c r="AG154" i="2"/>
  <c r="AD154" i="2"/>
  <c r="AA154" i="2"/>
  <c r="X154" i="2"/>
  <c r="U154" i="2"/>
  <c r="R154" i="2"/>
  <c r="O154" i="2"/>
  <c r="L154" i="2"/>
  <c r="I154" i="2"/>
  <c r="F154" i="2"/>
  <c r="AM153" i="2"/>
  <c r="AK153" i="2"/>
  <c r="AJ153" i="2"/>
  <c r="AG153" i="2"/>
  <c r="AD153" i="2"/>
  <c r="AA153" i="2"/>
  <c r="X153" i="2"/>
  <c r="U153" i="2"/>
  <c r="R153" i="2"/>
  <c r="O153" i="2"/>
  <c r="L153" i="2"/>
  <c r="I153" i="2"/>
  <c r="F153" i="2"/>
  <c r="AM152" i="2"/>
  <c r="AK152" i="2"/>
  <c r="AJ152" i="2"/>
  <c r="AG152" i="2"/>
  <c r="AD152" i="2"/>
  <c r="AA152" i="2"/>
  <c r="X152" i="2"/>
  <c r="U152" i="2"/>
  <c r="R152" i="2"/>
  <c r="O152" i="2"/>
  <c r="L152" i="2"/>
  <c r="I152" i="2"/>
  <c r="F152" i="2"/>
  <c r="AM148" i="2"/>
  <c r="AK148" i="2"/>
  <c r="AJ148" i="2"/>
  <c r="AG148" i="2"/>
  <c r="AD148" i="2"/>
  <c r="AA148" i="2"/>
  <c r="X148" i="2"/>
  <c r="U148" i="2"/>
  <c r="R148" i="2"/>
  <c r="O148" i="2"/>
  <c r="L148" i="2"/>
  <c r="I148" i="2"/>
  <c r="F148" i="2"/>
  <c r="AM147" i="2"/>
  <c r="AK147" i="2"/>
  <c r="AJ147" i="2"/>
  <c r="AG147" i="2"/>
  <c r="AD147" i="2"/>
  <c r="AA147" i="2"/>
  <c r="X147" i="2"/>
  <c r="U147" i="2"/>
  <c r="R147" i="2"/>
  <c r="O147" i="2"/>
  <c r="L147" i="2"/>
  <c r="I147" i="2"/>
  <c r="F147" i="2"/>
  <c r="AM146" i="2"/>
  <c r="AK146" i="2"/>
  <c r="AJ146" i="2"/>
  <c r="AG146" i="2"/>
  <c r="AD146" i="2"/>
  <c r="AA146" i="2"/>
  <c r="X146" i="2"/>
  <c r="U146" i="2"/>
  <c r="R146" i="2"/>
  <c r="O146" i="2"/>
  <c r="L146" i="2"/>
  <c r="I146" i="2"/>
  <c r="F146" i="2"/>
  <c r="AM145" i="2"/>
  <c r="AK145" i="2"/>
  <c r="AJ145" i="2"/>
  <c r="AG145" i="2"/>
  <c r="AD145" i="2"/>
  <c r="AA145" i="2"/>
  <c r="X145" i="2"/>
  <c r="U145" i="2"/>
  <c r="R145" i="2"/>
  <c r="O145" i="2"/>
  <c r="L145" i="2"/>
  <c r="I145" i="2"/>
  <c r="F145" i="2"/>
  <c r="AH144" i="2"/>
  <c r="AE144" i="2"/>
  <c r="AB144" i="2"/>
  <c r="Y144" i="2"/>
  <c r="V144" i="2"/>
  <c r="S144" i="2"/>
  <c r="U144" i="2" s="1"/>
  <c r="P144" i="2"/>
  <c r="R144" i="2" s="1"/>
  <c r="M144" i="2"/>
  <c r="J144" i="2"/>
  <c r="G144" i="2"/>
  <c r="D144" i="2"/>
  <c r="B144" i="2"/>
  <c r="AM143" i="2"/>
  <c r="AK143" i="2"/>
  <c r="AJ143" i="2"/>
  <c r="AG143" i="2"/>
  <c r="AD143" i="2"/>
  <c r="AA143" i="2"/>
  <c r="X143" i="2"/>
  <c r="U143" i="2"/>
  <c r="R143" i="2"/>
  <c r="O143" i="2"/>
  <c r="L143" i="2"/>
  <c r="I143" i="2"/>
  <c r="F143" i="2"/>
  <c r="AM142" i="2"/>
  <c r="AK142" i="2"/>
  <c r="AJ142" i="2"/>
  <c r="AG142" i="2"/>
  <c r="AD142" i="2"/>
  <c r="AA142" i="2"/>
  <c r="X142" i="2"/>
  <c r="U142" i="2"/>
  <c r="R142" i="2"/>
  <c r="O142" i="2"/>
  <c r="L142" i="2"/>
  <c r="I142" i="2"/>
  <c r="F142" i="2"/>
  <c r="AM141" i="2"/>
  <c r="AK141" i="2"/>
  <c r="AJ141" i="2"/>
  <c r="AG141" i="2"/>
  <c r="AD141" i="2"/>
  <c r="AA141" i="2"/>
  <c r="X141" i="2"/>
  <c r="U141" i="2"/>
  <c r="R141" i="2"/>
  <c r="O141" i="2"/>
  <c r="L141" i="2"/>
  <c r="I141" i="2"/>
  <c r="F141" i="2"/>
  <c r="AM140" i="2"/>
  <c r="AK140" i="2"/>
  <c r="AJ140" i="2"/>
  <c r="AG140" i="2"/>
  <c r="AD140" i="2"/>
  <c r="AA140" i="2"/>
  <c r="X140" i="2"/>
  <c r="U140" i="2"/>
  <c r="R140" i="2"/>
  <c r="O140" i="2"/>
  <c r="L140" i="2"/>
  <c r="I140" i="2"/>
  <c r="F140" i="2"/>
  <c r="AM139" i="2"/>
  <c r="AK139" i="2"/>
  <c r="AJ139" i="2"/>
  <c r="AG139" i="2"/>
  <c r="AD139" i="2"/>
  <c r="AA139" i="2"/>
  <c r="X139" i="2"/>
  <c r="U139" i="2"/>
  <c r="R139" i="2"/>
  <c r="O139" i="2"/>
  <c r="L139" i="2"/>
  <c r="I139" i="2"/>
  <c r="F139" i="2"/>
  <c r="AM138" i="2"/>
  <c r="AK138" i="2"/>
  <c r="AJ138" i="2"/>
  <c r="AG138" i="2"/>
  <c r="AD138" i="2"/>
  <c r="AA138" i="2"/>
  <c r="X138" i="2"/>
  <c r="U138" i="2"/>
  <c r="R138" i="2"/>
  <c r="O138" i="2"/>
  <c r="L138" i="2"/>
  <c r="I138" i="2"/>
  <c r="F138" i="2"/>
  <c r="AM137" i="2"/>
  <c r="AK137" i="2"/>
  <c r="AJ137" i="2"/>
  <c r="AG137" i="2"/>
  <c r="AD137" i="2"/>
  <c r="AA137" i="2"/>
  <c r="X137" i="2"/>
  <c r="U137" i="2"/>
  <c r="R137" i="2"/>
  <c r="O137" i="2"/>
  <c r="L137" i="2"/>
  <c r="I137" i="2"/>
  <c r="F137" i="2"/>
  <c r="AM136" i="2"/>
  <c r="AK136" i="2"/>
  <c r="AJ136" i="2"/>
  <c r="AG136" i="2"/>
  <c r="AD136" i="2"/>
  <c r="AA136" i="2"/>
  <c r="X136" i="2"/>
  <c r="U136" i="2"/>
  <c r="R136" i="2"/>
  <c r="O136" i="2"/>
  <c r="L136" i="2"/>
  <c r="I136" i="2"/>
  <c r="F136" i="2"/>
  <c r="AM135" i="2"/>
  <c r="AK135" i="2"/>
  <c r="AJ135" i="2"/>
  <c r="AG135" i="2"/>
  <c r="AD135" i="2"/>
  <c r="AA135" i="2"/>
  <c r="X135" i="2"/>
  <c r="U135" i="2"/>
  <c r="R135" i="2"/>
  <c r="O135" i="2"/>
  <c r="L135" i="2"/>
  <c r="I135" i="2"/>
  <c r="F135" i="2"/>
  <c r="AM134" i="2"/>
  <c r="AK134" i="2"/>
  <c r="AJ134" i="2"/>
  <c r="AG134" i="2"/>
  <c r="AD134" i="2"/>
  <c r="AA134" i="2"/>
  <c r="X134" i="2"/>
  <c r="U134" i="2"/>
  <c r="R134" i="2"/>
  <c r="O134" i="2"/>
  <c r="L134" i="2"/>
  <c r="I134" i="2"/>
  <c r="F134" i="2"/>
  <c r="AM133" i="2"/>
  <c r="AK133" i="2"/>
  <c r="AJ133" i="2"/>
  <c r="AG133" i="2"/>
  <c r="AD133" i="2"/>
  <c r="AA133" i="2"/>
  <c r="X133" i="2"/>
  <c r="U133" i="2"/>
  <c r="R133" i="2"/>
  <c r="O133" i="2"/>
  <c r="L133" i="2"/>
  <c r="I133" i="2"/>
  <c r="F133" i="2"/>
  <c r="AM132" i="2"/>
  <c r="AK132" i="2"/>
  <c r="AJ132" i="2"/>
  <c r="AG132" i="2"/>
  <c r="AD132" i="2"/>
  <c r="AA132" i="2"/>
  <c r="X132" i="2"/>
  <c r="U132" i="2"/>
  <c r="R132" i="2"/>
  <c r="O132" i="2"/>
  <c r="L132" i="2"/>
  <c r="I132" i="2"/>
  <c r="F132" i="2"/>
  <c r="AM131" i="2"/>
  <c r="AK131" i="2"/>
  <c r="AJ131" i="2"/>
  <c r="AG131" i="2"/>
  <c r="AD131" i="2"/>
  <c r="AA131" i="2"/>
  <c r="X131" i="2"/>
  <c r="U131" i="2"/>
  <c r="R131" i="2"/>
  <c r="O131" i="2"/>
  <c r="L131" i="2"/>
  <c r="I131" i="2"/>
  <c r="F131" i="2"/>
  <c r="AM130" i="2"/>
  <c r="AK130" i="2"/>
  <c r="AJ130" i="2"/>
  <c r="AG130" i="2"/>
  <c r="AD130" i="2"/>
  <c r="AA130" i="2"/>
  <c r="X130" i="2"/>
  <c r="U130" i="2"/>
  <c r="R130" i="2"/>
  <c r="O130" i="2"/>
  <c r="L130" i="2"/>
  <c r="I130" i="2"/>
  <c r="F130" i="2"/>
  <c r="AM129" i="2"/>
  <c r="AK129" i="2"/>
  <c r="AJ129" i="2"/>
  <c r="AG129" i="2"/>
  <c r="AD129" i="2"/>
  <c r="AA129" i="2"/>
  <c r="X129" i="2"/>
  <c r="U129" i="2"/>
  <c r="R129" i="2"/>
  <c r="O129" i="2"/>
  <c r="L129" i="2"/>
  <c r="I129" i="2"/>
  <c r="F129" i="2"/>
  <c r="AM128" i="2"/>
  <c r="AK128" i="2"/>
  <c r="AJ128" i="2"/>
  <c r="AG128" i="2"/>
  <c r="AD128" i="2"/>
  <c r="AA128" i="2"/>
  <c r="X128" i="2"/>
  <c r="U128" i="2"/>
  <c r="R128" i="2"/>
  <c r="O128" i="2"/>
  <c r="L128" i="2"/>
  <c r="I128" i="2"/>
  <c r="F128" i="2"/>
  <c r="AM127" i="2"/>
  <c r="AK127" i="2"/>
  <c r="AJ127" i="2"/>
  <c r="AG127" i="2"/>
  <c r="AD127" i="2"/>
  <c r="AA127" i="2"/>
  <c r="X127" i="2"/>
  <c r="U127" i="2"/>
  <c r="R127" i="2"/>
  <c r="O127" i="2"/>
  <c r="L127" i="2"/>
  <c r="I127" i="2"/>
  <c r="F127" i="2"/>
  <c r="AM126" i="2"/>
  <c r="AK126" i="2"/>
  <c r="AJ126" i="2"/>
  <c r="AG126" i="2"/>
  <c r="AD126" i="2"/>
  <c r="AA126" i="2"/>
  <c r="X126" i="2"/>
  <c r="U126" i="2"/>
  <c r="R126" i="2"/>
  <c r="O126" i="2"/>
  <c r="L126" i="2"/>
  <c r="I126" i="2"/>
  <c r="F126" i="2"/>
  <c r="AM125" i="2"/>
  <c r="AK125" i="2"/>
  <c r="AJ125" i="2"/>
  <c r="AG125" i="2"/>
  <c r="AD125" i="2"/>
  <c r="AA125" i="2"/>
  <c r="X125" i="2"/>
  <c r="U125" i="2"/>
  <c r="R125" i="2"/>
  <c r="O125" i="2"/>
  <c r="L125" i="2"/>
  <c r="I125" i="2"/>
  <c r="F125" i="2"/>
  <c r="AM124" i="2"/>
  <c r="AK124" i="2"/>
  <c r="AJ124" i="2"/>
  <c r="AG124" i="2"/>
  <c r="AD124" i="2"/>
  <c r="AA124" i="2"/>
  <c r="X124" i="2"/>
  <c r="U124" i="2"/>
  <c r="R124" i="2"/>
  <c r="O124" i="2"/>
  <c r="L124" i="2"/>
  <c r="I124" i="2"/>
  <c r="F124" i="2"/>
  <c r="AM123" i="2"/>
  <c r="AK123" i="2"/>
  <c r="AJ123" i="2"/>
  <c r="AG123" i="2"/>
  <c r="AD123" i="2"/>
  <c r="AA123" i="2"/>
  <c r="X123" i="2"/>
  <c r="U123" i="2"/>
  <c r="R123" i="2"/>
  <c r="O123" i="2"/>
  <c r="L123" i="2"/>
  <c r="I123" i="2"/>
  <c r="F123" i="2"/>
  <c r="AM122" i="2"/>
  <c r="AK122" i="2"/>
  <c r="AJ122" i="2"/>
  <c r="AG122" i="2"/>
  <c r="AD122" i="2"/>
  <c r="AA122" i="2"/>
  <c r="X122" i="2"/>
  <c r="U122" i="2"/>
  <c r="R122" i="2"/>
  <c r="O122" i="2"/>
  <c r="L122" i="2"/>
  <c r="I122" i="2"/>
  <c r="F122" i="2"/>
  <c r="AM121" i="2"/>
  <c r="AK121" i="2"/>
  <c r="AJ121" i="2"/>
  <c r="AG121" i="2"/>
  <c r="AD121" i="2"/>
  <c r="AA121" i="2"/>
  <c r="X121" i="2"/>
  <c r="U121" i="2"/>
  <c r="R121" i="2"/>
  <c r="O121" i="2"/>
  <c r="L121" i="2"/>
  <c r="I121" i="2"/>
  <c r="F121" i="2"/>
  <c r="AM120" i="2"/>
  <c r="AK120" i="2"/>
  <c r="AJ120" i="2"/>
  <c r="AG120" i="2"/>
  <c r="AD120" i="2"/>
  <c r="AA120" i="2"/>
  <c r="X120" i="2"/>
  <c r="U120" i="2"/>
  <c r="R120" i="2"/>
  <c r="O120" i="2"/>
  <c r="L120" i="2"/>
  <c r="I120" i="2"/>
  <c r="F120" i="2"/>
  <c r="AM119" i="2"/>
  <c r="AK119" i="2"/>
  <c r="AJ119" i="2"/>
  <c r="AG119" i="2"/>
  <c r="AD119" i="2"/>
  <c r="AA119" i="2"/>
  <c r="X119" i="2"/>
  <c r="U119" i="2"/>
  <c r="R119" i="2"/>
  <c r="O119" i="2"/>
  <c r="L119" i="2"/>
  <c r="I119" i="2"/>
  <c r="F119" i="2"/>
  <c r="AH118" i="2"/>
  <c r="AH105" i="2" s="1"/>
  <c r="AE118" i="2"/>
  <c r="AB118" i="2"/>
  <c r="Y118" i="2"/>
  <c r="V118" i="2"/>
  <c r="X118" i="2" s="1"/>
  <c r="S118" i="2"/>
  <c r="P118" i="2"/>
  <c r="M118" i="2"/>
  <c r="J118" i="2"/>
  <c r="G118" i="2"/>
  <c r="D118" i="2"/>
  <c r="B118" i="2"/>
  <c r="AM117" i="2"/>
  <c r="AK117" i="2"/>
  <c r="AJ117" i="2"/>
  <c r="AG117" i="2"/>
  <c r="AD117" i="2"/>
  <c r="AA117" i="2"/>
  <c r="X117" i="2"/>
  <c r="U117" i="2"/>
  <c r="R117" i="2"/>
  <c r="O117" i="2"/>
  <c r="L117" i="2"/>
  <c r="I117" i="2"/>
  <c r="F117" i="2"/>
  <c r="AM116" i="2"/>
  <c r="AK116" i="2"/>
  <c r="AJ116" i="2"/>
  <c r="AG116" i="2"/>
  <c r="AD116" i="2"/>
  <c r="AA116" i="2"/>
  <c r="X116" i="2"/>
  <c r="U116" i="2"/>
  <c r="R116" i="2"/>
  <c r="O116" i="2"/>
  <c r="L116" i="2"/>
  <c r="I116" i="2"/>
  <c r="F116" i="2"/>
  <c r="AM115" i="2"/>
  <c r="AK115" i="2"/>
  <c r="AJ115" i="2"/>
  <c r="AG115" i="2"/>
  <c r="AD115" i="2"/>
  <c r="AA115" i="2"/>
  <c r="X115" i="2"/>
  <c r="U115" i="2"/>
  <c r="R115" i="2"/>
  <c r="O115" i="2"/>
  <c r="L115" i="2"/>
  <c r="I115" i="2"/>
  <c r="F115" i="2"/>
  <c r="AM114" i="2"/>
  <c r="AK114" i="2"/>
  <c r="AJ114" i="2"/>
  <c r="AG114" i="2"/>
  <c r="AD114" i="2"/>
  <c r="AA114" i="2"/>
  <c r="X114" i="2"/>
  <c r="U114" i="2"/>
  <c r="R114" i="2"/>
  <c r="O114" i="2"/>
  <c r="L114" i="2"/>
  <c r="I114" i="2"/>
  <c r="F114" i="2"/>
  <c r="AM113" i="2"/>
  <c r="AK113" i="2"/>
  <c r="AJ113" i="2"/>
  <c r="AG113" i="2"/>
  <c r="AD113" i="2"/>
  <c r="AA113" i="2"/>
  <c r="X113" i="2"/>
  <c r="U113" i="2"/>
  <c r="R113" i="2"/>
  <c r="O113" i="2"/>
  <c r="L113" i="2"/>
  <c r="I113" i="2"/>
  <c r="F113" i="2"/>
  <c r="AM112" i="2"/>
  <c r="AK112" i="2"/>
  <c r="AJ112" i="2"/>
  <c r="AG112" i="2"/>
  <c r="AD112" i="2"/>
  <c r="AA112" i="2"/>
  <c r="X112" i="2"/>
  <c r="U112" i="2"/>
  <c r="R112" i="2"/>
  <c r="O112" i="2"/>
  <c r="L112" i="2"/>
  <c r="I112" i="2"/>
  <c r="F112" i="2"/>
  <c r="AM111" i="2"/>
  <c r="AK111" i="2"/>
  <c r="AJ111" i="2"/>
  <c r="AG111" i="2"/>
  <c r="AD111" i="2"/>
  <c r="AA111" i="2"/>
  <c r="X111" i="2"/>
  <c r="U111" i="2"/>
  <c r="R111" i="2"/>
  <c r="O111" i="2"/>
  <c r="L111" i="2"/>
  <c r="I111" i="2"/>
  <c r="F111" i="2"/>
  <c r="AM110" i="2"/>
  <c r="AK110" i="2"/>
  <c r="AJ110" i="2"/>
  <c r="AG110" i="2"/>
  <c r="AD110" i="2"/>
  <c r="AA110" i="2"/>
  <c r="X110" i="2"/>
  <c r="U110" i="2"/>
  <c r="R110" i="2"/>
  <c r="O110" i="2"/>
  <c r="L110" i="2"/>
  <c r="I110" i="2"/>
  <c r="F110" i="2"/>
  <c r="AM109" i="2"/>
  <c r="AK109" i="2"/>
  <c r="AJ109" i="2"/>
  <c r="AG109" i="2"/>
  <c r="AD109" i="2"/>
  <c r="AA109" i="2"/>
  <c r="X109" i="2"/>
  <c r="U109" i="2"/>
  <c r="R109" i="2"/>
  <c r="O109" i="2"/>
  <c r="L109" i="2"/>
  <c r="I109" i="2"/>
  <c r="F109" i="2"/>
  <c r="AM108" i="2"/>
  <c r="AK108" i="2"/>
  <c r="AJ108" i="2"/>
  <c r="AG108" i="2"/>
  <c r="AD108" i="2"/>
  <c r="AA108" i="2"/>
  <c r="X108" i="2"/>
  <c r="U108" i="2"/>
  <c r="R108" i="2"/>
  <c r="O108" i="2"/>
  <c r="L108" i="2"/>
  <c r="I108" i="2"/>
  <c r="F108" i="2"/>
  <c r="AM107" i="2"/>
  <c r="AK107" i="2"/>
  <c r="AJ107" i="2"/>
  <c r="AG107" i="2"/>
  <c r="AD107" i="2"/>
  <c r="AA107" i="2"/>
  <c r="X107" i="2"/>
  <c r="U107" i="2"/>
  <c r="R107" i="2"/>
  <c r="O107" i="2"/>
  <c r="L107" i="2"/>
  <c r="I107" i="2"/>
  <c r="F107" i="2"/>
  <c r="AH106" i="2"/>
  <c r="AE106" i="2"/>
  <c r="AB106" i="2"/>
  <c r="AB105" i="2" s="1"/>
  <c r="Y106" i="2"/>
  <c r="V106" i="2"/>
  <c r="S106" i="2"/>
  <c r="P106" i="2"/>
  <c r="M106" i="2"/>
  <c r="J106" i="2"/>
  <c r="G106" i="2"/>
  <c r="D106" i="2"/>
  <c r="B106" i="2"/>
  <c r="AM104" i="2"/>
  <c r="AK104" i="2"/>
  <c r="AJ104" i="2"/>
  <c r="AG104" i="2"/>
  <c r="AD104" i="2"/>
  <c r="AA104" i="2"/>
  <c r="X104" i="2"/>
  <c r="U104" i="2"/>
  <c r="R104" i="2"/>
  <c r="O104" i="2"/>
  <c r="L104" i="2"/>
  <c r="I104" i="2"/>
  <c r="F104" i="2"/>
  <c r="AM103" i="2"/>
  <c r="AK103" i="2"/>
  <c r="AJ103" i="2"/>
  <c r="AG103" i="2"/>
  <c r="AD103" i="2"/>
  <c r="AA103" i="2"/>
  <c r="X103" i="2"/>
  <c r="U103" i="2"/>
  <c r="R103" i="2"/>
  <c r="O103" i="2"/>
  <c r="L103" i="2"/>
  <c r="I103" i="2"/>
  <c r="F103" i="2"/>
  <c r="AM102" i="2"/>
  <c r="AK102" i="2"/>
  <c r="AJ102" i="2"/>
  <c r="AG102" i="2"/>
  <c r="AD102" i="2"/>
  <c r="AA102" i="2"/>
  <c r="X102" i="2"/>
  <c r="U102" i="2"/>
  <c r="R102" i="2"/>
  <c r="O102" i="2"/>
  <c r="L102" i="2"/>
  <c r="I102" i="2"/>
  <c r="F102" i="2"/>
  <c r="AM101" i="2"/>
  <c r="AK101" i="2"/>
  <c r="AJ101" i="2"/>
  <c r="AG101" i="2"/>
  <c r="AD101" i="2"/>
  <c r="AA101" i="2"/>
  <c r="X101" i="2"/>
  <c r="U101" i="2"/>
  <c r="R101" i="2"/>
  <c r="O101" i="2"/>
  <c r="L101" i="2"/>
  <c r="I101" i="2"/>
  <c r="F101" i="2"/>
  <c r="AH100" i="2"/>
  <c r="AE100" i="2"/>
  <c r="AB100" i="2"/>
  <c r="Y100" i="2"/>
  <c r="V100" i="2"/>
  <c r="S100" i="2"/>
  <c r="P100" i="2"/>
  <c r="M100" i="2"/>
  <c r="J100" i="2"/>
  <c r="O100" i="2" s="1"/>
  <c r="G100" i="2"/>
  <c r="D100" i="2"/>
  <c r="B100" i="2"/>
  <c r="AM99" i="2"/>
  <c r="AK99" i="2"/>
  <c r="AJ99" i="2"/>
  <c r="AG99" i="2"/>
  <c r="AD99" i="2"/>
  <c r="AA99" i="2"/>
  <c r="X99" i="2"/>
  <c r="U99" i="2"/>
  <c r="R99" i="2"/>
  <c r="O99" i="2"/>
  <c r="L99" i="2"/>
  <c r="I99" i="2"/>
  <c r="F99" i="2"/>
  <c r="AM98" i="2"/>
  <c r="AK98" i="2"/>
  <c r="AJ98" i="2"/>
  <c r="AG98" i="2"/>
  <c r="AD98" i="2"/>
  <c r="AA98" i="2"/>
  <c r="X98" i="2"/>
  <c r="U98" i="2"/>
  <c r="R98" i="2"/>
  <c r="O98" i="2"/>
  <c r="L98" i="2"/>
  <c r="I98" i="2"/>
  <c r="F98" i="2"/>
  <c r="AM97" i="2"/>
  <c r="AK97" i="2"/>
  <c r="AJ97" i="2"/>
  <c r="AG97" i="2"/>
  <c r="AD97" i="2"/>
  <c r="AA97" i="2"/>
  <c r="X97" i="2"/>
  <c r="U97" i="2"/>
  <c r="R97" i="2"/>
  <c r="O97" i="2"/>
  <c r="L97" i="2"/>
  <c r="I97" i="2"/>
  <c r="F97" i="2"/>
  <c r="AM96" i="2"/>
  <c r="AK96" i="2"/>
  <c r="AJ96" i="2"/>
  <c r="AG96" i="2"/>
  <c r="AD96" i="2"/>
  <c r="AA96" i="2"/>
  <c r="X96" i="2"/>
  <c r="U96" i="2"/>
  <c r="R96" i="2"/>
  <c r="O96" i="2"/>
  <c r="L96" i="2"/>
  <c r="I96" i="2"/>
  <c r="F96" i="2"/>
  <c r="AM95" i="2"/>
  <c r="AK95" i="2"/>
  <c r="AJ95" i="2"/>
  <c r="AG95" i="2"/>
  <c r="AD95" i="2"/>
  <c r="AA95" i="2"/>
  <c r="X95" i="2"/>
  <c r="U95" i="2"/>
  <c r="R95" i="2"/>
  <c r="O95" i="2"/>
  <c r="L95" i="2"/>
  <c r="I95" i="2"/>
  <c r="F95" i="2"/>
  <c r="AM94" i="2"/>
  <c r="AK94" i="2"/>
  <c r="AJ94" i="2"/>
  <c r="AG94" i="2"/>
  <c r="AD94" i="2"/>
  <c r="AA94" i="2"/>
  <c r="X94" i="2"/>
  <c r="U94" i="2"/>
  <c r="R94" i="2"/>
  <c r="O94" i="2"/>
  <c r="L94" i="2"/>
  <c r="I94" i="2"/>
  <c r="F94" i="2"/>
  <c r="AM93" i="2"/>
  <c r="AK93" i="2"/>
  <c r="AJ93" i="2"/>
  <c r="AG93" i="2"/>
  <c r="AD93" i="2"/>
  <c r="AA93" i="2"/>
  <c r="X93" i="2"/>
  <c r="U93" i="2"/>
  <c r="R93" i="2"/>
  <c r="O93" i="2"/>
  <c r="L93" i="2"/>
  <c r="I93" i="2"/>
  <c r="F93" i="2"/>
  <c r="AM92" i="2"/>
  <c r="AK92" i="2"/>
  <c r="AJ92" i="2"/>
  <c r="AG92" i="2"/>
  <c r="AD92" i="2"/>
  <c r="AA92" i="2"/>
  <c r="X92" i="2"/>
  <c r="U92" i="2"/>
  <c r="R92" i="2"/>
  <c r="O92" i="2"/>
  <c r="L92" i="2"/>
  <c r="I92" i="2"/>
  <c r="F92" i="2"/>
  <c r="AM91" i="2"/>
  <c r="AK91" i="2"/>
  <c r="AJ91" i="2"/>
  <c r="AG91" i="2"/>
  <c r="AD91" i="2"/>
  <c r="AA91" i="2"/>
  <c r="X91" i="2"/>
  <c r="U91" i="2"/>
  <c r="R91" i="2"/>
  <c r="O91" i="2"/>
  <c r="L91" i="2"/>
  <c r="I91" i="2"/>
  <c r="F91" i="2"/>
  <c r="AM90" i="2"/>
  <c r="AK90" i="2"/>
  <c r="AJ90" i="2"/>
  <c r="AG90" i="2"/>
  <c r="AD90" i="2"/>
  <c r="AA90" i="2"/>
  <c r="X90" i="2"/>
  <c r="U90" i="2"/>
  <c r="R90" i="2"/>
  <c r="O90" i="2"/>
  <c r="L90" i="2"/>
  <c r="I90" i="2"/>
  <c r="F90" i="2"/>
  <c r="AM89" i="2"/>
  <c r="AK89" i="2"/>
  <c r="AJ89" i="2"/>
  <c r="AG89" i="2"/>
  <c r="AD89" i="2"/>
  <c r="AA89" i="2"/>
  <c r="X89" i="2"/>
  <c r="U89" i="2"/>
  <c r="R89" i="2"/>
  <c r="O89" i="2"/>
  <c r="L89" i="2"/>
  <c r="I89" i="2"/>
  <c r="F89" i="2"/>
  <c r="AM88" i="2"/>
  <c r="AK88" i="2"/>
  <c r="AJ88" i="2"/>
  <c r="AG88" i="2"/>
  <c r="AD88" i="2"/>
  <c r="AA88" i="2"/>
  <c r="X88" i="2"/>
  <c r="U88" i="2"/>
  <c r="R88" i="2"/>
  <c r="O88" i="2"/>
  <c r="L88" i="2"/>
  <c r="I88" i="2"/>
  <c r="F88" i="2"/>
  <c r="AH87" i="2"/>
  <c r="AE87" i="2"/>
  <c r="AB87" i="2"/>
  <c r="Y87" i="2"/>
  <c r="V87" i="2"/>
  <c r="S87" i="2"/>
  <c r="S86" i="2" s="1"/>
  <c r="P87" i="2"/>
  <c r="M87" i="2"/>
  <c r="J87" i="2"/>
  <c r="G87" i="2"/>
  <c r="D87" i="2"/>
  <c r="D86" i="2" s="1"/>
  <c r="B87" i="2"/>
  <c r="AM84" i="2"/>
  <c r="AK84" i="2"/>
  <c r="AJ84" i="2"/>
  <c r="AG84" i="2"/>
  <c r="AD84" i="2"/>
  <c r="AA84" i="2"/>
  <c r="X84" i="2"/>
  <c r="U84" i="2"/>
  <c r="R84" i="2"/>
  <c r="O84" i="2"/>
  <c r="L84" i="2"/>
  <c r="I84" i="2"/>
  <c r="F84" i="2"/>
  <c r="AM83" i="2"/>
  <c r="AK83" i="2"/>
  <c r="AJ83" i="2"/>
  <c r="AG83" i="2"/>
  <c r="AD83" i="2"/>
  <c r="AA83" i="2"/>
  <c r="X83" i="2"/>
  <c r="U83" i="2"/>
  <c r="R83" i="2"/>
  <c r="O83" i="2"/>
  <c r="L83" i="2"/>
  <c r="I83" i="2"/>
  <c r="F83" i="2"/>
  <c r="AM82" i="2"/>
  <c r="AK82" i="2"/>
  <c r="AJ82" i="2"/>
  <c r="AG82" i="2"/>
  <c r="AD82" i="2"/>
  <c r="AA82" i="2"/>
  <c r="X82" i="2"/>
  <c r="U82" i="2"/>
  <c r="R82" i="2"/>
  <c r="O82" i="2"/>
  <c r="L82" i="2"/>
  <c r="I82" i="2"/>
  <c r="F82" i="2"/>
  <c r="AM81" i="2"/>
  <c r="AK81" i="2"/>
  <c r="AJ81" i="2"/>
  <c r="AG81" i="2"/>
  <c r="AD81" i="2"/>
  <c r="AA81" i="2"/>
  <c r="X81" i="2"/>
  <c r="U81" i="2"/>
  <c r="R81" i="2"/>
  <c r="O81" i="2"/>
  <c r="L81" i="2"/>
  <c r="I81" i="2"/>
  <c r="F81" i="2"/>
  <c r="AH80" i="2"/>
  <c r="AE80" i="2"/>
  <c r="AB80" i="2"/>
  <c r="Y80" i="2"/>
  <c r="V80" i="2"/>
  <c r="S80" i="2"/>
  <c r="P80" i="2"/>
  <c r="M80" i="2"/>
  <c r="J80" i="2"/>
  <c r="G80" i="2"/>
  <c r="D80" i="2"/>
  <c r="B80" i="2"/>
  <c r="AM79" i="2"/>
  <c r="AK79" i="2"/>
  <c r="AJ79" i="2"/>
  <c r="AG79" i="2"/>
  <c r="AD79" i="2"/>
  <c r="AA79" i="2"/>
  <c r="X79" i="2"/>
  <c r="U79" i="2"/>
  <c r="R79" i="2"/>
  <c r="O79" i="2"/>
  <c r="L79" i="2"/>
  <c r="I79" i="2"/>
  <c r="F79" i="2"/>
  <c r="AM78" i="2"/>
  <c r="AK78" i="2"/>
  <c r="AJ78" i="2"/>
  <c r="AG78" i="2"/>
  <c r="AD78" i="2"/>
  <c r="AA78" i="2"/>
  <c r="X78" i="2"/>
  <c r="U78" i="2"/>
  <c r="R78" i="2"/>
  <c r="O78" i="2"/>
  <c r="L78" i="2"/>
  <c r="I78" i="2"/>
  <c r="F78" i="2"/>
  <c r="AM77" i="2"/>
  <c r="AK77" i="2"/>
  <c r="AJ77" i="2"/>
  <c r="AG77" i="2"/>
  <c r="AD77" i="2"/>
  <c r="AA77" i="2"/>
  <c r="X77" i="2"/>
  <c r="U77" i="2"/>
  <c r="R77" i="2"/>
  <c r="O77" i="2"/>
  <c r="L77" i="2"/>
  <c r="I77" i="2"/>
  <c r="F77" i="2"/>
  <c r="AM76" i="2"/>
  <c r="AK76" i="2"/>
  <c r="AJ76" i="2"/>
  <c r="AG76" i="2"/>
  <c r="AD76" i="2"/>
  <c r="AA76" i="2"/>
  <c r="X76" i="2"/>
  <c r="U76" i="2"/>
  <c r="R76" i="2"/>
  <c r="O76" i="2"/>
  <c r="L76" i="2"/>
  <c r="I76" i="2"/>
  <c r="F76" i="2"/>
  <c r="AH75" i="2"/>
  <c r="AE75" i="2"/>
  <c r="AB75" i="2"/>
  <c r="Y75" i="2"/>
  <c r="V75" i="2"/>
  <c r="S75" i="2"/>
  <c r="P75" i="2"/>
  <c r="R75" i="2" s="1"/>
  <c r="M75" i="2"/>
  <c r="J75" i="2"/>
  <c r="G75" i="2"/>
  <c r="D75" i="2"/>
  <c r="B75" i="2"/>
  <c r="AM74" i="2"/>
  <c r="AK74" i="2"/>
  <c r="AJ74" i="2"/>
  <c r="AG74" i="2"/>
  <c r="AD74" i="2"/>
  <c r="AA74" i="2"/>
  <c r="X74" i="2"/>
  <c r="U74" i="2"/>
  <c r="R74" i="2"/>
  <c r="O74" i="2"/>
  <c r="L74" i="2"/>
  <c r="I74" i="2"/>
  <c r="F74" i="2"/>
  <c r="AM73" i="2"/>
  <c r="AK73" i="2"/>
  <c r="AJ73" i="2"/>
  <c r="AG73" i="2"/>
  <c r="AD73" i="2"/>
  <c r="AA73" i="2"/>
  <c r="X73" i="2"/>
  <c r="U73" i="2"/>
  <c r="R73" i="2"/>
  <c r="O73" i="2"/>
  <c r="L73" i="2"/>
  <c r="I73" i="2"/>
  <c r="F73" i="2"/>
  <c r="AM72" i="2"/>
  <c r="AK72" i="2"/>
  <c r="AJ72" i="2"/>
  <c r="AG72" i="2"/>
  <c r="AD72" i="2"/>
  <c r="AA72" i="2"/>
  <c r="X72" i="2"/>
  <c r="U72" i="2"/>
  <c r="R72" i="2"/>
  <c r="O72" i="2"/>
  <c r="L72" i="2"/>
  <c r="I72" i="2"/>
  <c r="F72" i="2"/>
  <c r="AM71" i="2"/>
  <c r="AK71" i="2"/>
  <c r="AJ71" i="2"/>
  <c r="AG71" i="2"/>
  <c r="AD71" i="2"/>
  <c r="AA71" i="2"/>
  <c r="X71" i="2"/>
  <c r="U71" i="2"/>
  <c r="R71" i="2"/>
  <c r="O71" i="2"/>
  <c r="L71" i="2"/>
  <c r="I71" i="2"/>
  <c r="F71" i="2"/>
  <c r="AH70" i="2"/>
  <c r="AE70" i="2"/>
  <c r="AB70" i="2"/>
  <c r="Y70" i="2"/>
  <c r="V70" i="2"/>
  <c r="S70" i="2"/>
  <c r="P70" i="2"/>
  <c r="M70" i="2"/>
  <c r="J70" i="2"/>
  <c r="G70" i="2"/>
  <c r="D70" i="2"/>
  <c r="B70" i="2"/>
  <c r="AM69" i="2"/>
  <c r="AK69" i="2"/>
  <c r="AJ69" i="2"/>
  <c r="AG69" i="2"/>
  <c r="AD69" i="2"/>
  <c r="AA69" i="2"/>
  <c r="X69" i="2"/>
  <c r="U69" i="2"/>
  <c r="R69" i="2"/>
  <c r="O69" i="2"/>
  <c r="L69" i="2"/>
  <c r="I69" i="2"/>
  <c r="F69" i="2"/>
  <c r="AM68" i="2"/>
  <c r="AK68" i="2"/>
  <c r="AJ68" i="2"/>
  <c r="AG68" i="2"/>
  <c r="AD68" i="2"/>
  <c r="AA68" i="2"/>
  <c r="X68" i="2"/>
  <c r="U68" i="2"/>
  <c r="R68" i="2"/>
  <c r="O68" i="2"/>
  <c r="L68" i="2"/>
  <c r="I68" i="2"/>
  <c r="F68" i="2"/>
  <c r="AM67" i="2"/>
  <c r="AK67" i="2"/>
  <c r="AJ67" i="2"/>
  <c r="AG67" i="2"/>
  <c r="AD67" i="2"/>
  <c r="AA67" i="2"/>
  <c r="X67" i="2"/>
  <c r="U67" i="2"/>
  <c r="R67" i="2"/>
  <c r="O67" i="2"/>
  <c r="L67" i="2"/>
  <c r="I67" i="2"/>
  <c r="F67" i="2"/>
  <c r="AM66" i="2"/>
  <c r="AK66" i="2"/>
  <c r="AJ66" i="2"/>
  <c r="AG66" i="2"/>
  <c r="AD66" i="2"/>
  <c r="AA66" i="2"/>
  <c r="X66" i="2"/>
  <c r="U66" i="2"/>
  <c r="R66" i="2"/>
  <c r="O66" i="2"/>
  <c r="L66" i="2"/>
  <c r="I66" i="2"/>
  <c r="F66" i="2"/>
  <c r="AH65" i="2"/>
  <c r="AE65" i="2"/>
  <c r="AB65" i="2"/>
  <c r="Y65" i="2"/>
  <c r="V65" i="2"/>
  <c r="S65" i="2"/>
  <c r="P65" i="2"/>
  <c r="M65" i="2"/>
  <c r="J65" i="2"/>
  <c r="G65" i="2"/>
  <c r="D65" i="2"/>
  <c r="B65" i="2"/>
  <c r="AM63" i="2"/>
  <c r="AK63" i="2"/>
  <c r="AJ63" i="2"/>
  <c r="AG63" i="2"/>
  <c r="AD63" i="2"/>
  <c r="AA63" i="2"/>
  <c r="X63" i="2"/>
  <c r="U63" i="2"/>
  <c r="R63" i="2"/>
  <c r="O63" i="2"/>
  <c r="L63" i="2"/>
  <c r="I63" i="2"/>
  <c r="F63" i="2"/>
  <c r="AM62" i="2"/>
  <c r="AK62" i="2"/>
  <c r="AJ62" i="2"/>
  <c r="AG62" i="2"/>
  <c r="AD62" i="2"/>
  <c r="AA62" i="2"/>
  <c r="X62" i="2"/>
  <c r="U62" i="2"/>
  <c r="R62" i="2"/>
  <c r="O62" i="2"/>
  <c r="L62" i="2"/>
  <c r="I62" i="2"/>
  <c r="F62" i="2"/>
  <c r="AM61" i="2"/>
  <c r="AK61" i="2"/>
  <c r="AJ61" i="2"/>
  <c r="AG61" i="2"/>
  <c r="AD61" i="2"/>
  <c r="AA61" i="2"/>
  <c r="X61" i="2"/>
  <c r="U61" i="2"/>
  <c r="R61" i="2"/>
  <c r="O61" i="2"/>
  <c r="L61" i="2"/>
  <c r="I61" i="2"/>
  <c r="F61" i="2"/>
  <c r="AM59" i="2"/>
  <c r="AK59" i="2"/>
  <c r="AJ59" i="2"/>
  <c r="AG59" i="2"/>
  <c r="AD59" i="2"/>
  <c r="AA59" i="2"/>
  <c r="X59" i="2"/>
  <c r="U59" i="2"/>
  <c r="R59" i="2"/>
  <c r="O59" i="2"/>
  <c r="L59" i="2"/>
  <c r="I59" i="2"/>
  <c r="F59" i="2"/>
  <c r="AM58" i="2"/>
  <c r="AK58" i="2"/>
  <c r="AJ58" i="2"/>
  <c r="AG58" i="2"/>
  <c r="AD58" i="2"/>
  <c r="AA58" i="2"/>
  <c r="X58" i="2"/>
  <c r="U58" i="2"/>
  <c r="R58" i="2"/>
  <c r="O58" i="2"/>
  <c r="L58" i="2"/>
  <c r="I58" i="2"/>
  <c r="F58" i="2"/>
  <c r="AM57" i="2"/>
  <c r="AK57" i="2"/>
  <c r="AJ57" i="2"/>
  <c r="AG57" i="2"/>
  <c r="AD57" i="2"/>
  <c r="AA57" i="2"/>
  <c r="X57" i="2"/>
  <c r="U57" i="2"/>
  <c r="R57" i="2"/>
  <c r="O57" i="2"/>
  <c r="L57" i="2"/>
  <c r="I57" i="2"/>
  <c r="F57" i="2"/>
  <c r="AM56" i="2"/>
  <c r="AK56" i="2"/>
  <c r="AJ56" i="2"/>
  <c r="AG56" i="2"/>
  <c r="AD56" i="2"/>
  <c r="AA56" i="2"/>
  <c r="X56" i="2"/>
  <c r="U56" i="2"/>
  <c r="R56" i="2"/>
  <c r="O56" i="2"/>
  <c r="L56" i="2"/>
  <c r="I56" i="2"/>
  <c r="F56" i="2"/>
  <c r="AM55" i="2"/>
  <c r="AK55" i="2"/>
  <c r="AJ55" i="2"/>
  <c r="AG55" i="2"/>
  <c r="AD55" i="2"/>
  <c r="AA55" i="2"/>
  <c r="X55" i="2"/>
  <c r="U55" i="2"/>
  <c r="R55" i="2"/>
  <c r="O55" i="2"/>
  <c r="L55" i="2"/>
  <c r="I55" i="2"/>
  <c r="F55" i="2"/>
  <c r="AM53" i="2"/>
  <c r="AK53" i="2"/>
  <c r="AJ53" i="2"/>
  <c r="AG53" i="2"/>
  <c r="AD53" i="2"/>
  <c r="AA53" i="2"/>
  <c r="X53" i="2"/>
  <c r="U53" i="2"/>
  <c r="R53" i="2"/>
  <c r="O53" i="2"/>
  <c r="L53" i="2"/>
  <c r="I53" i="2"/>
  <c r="F53" i="2"/>
  <c r="AM52" i="2"/>
  <c r="AK52" i="2"/>
  <c r="AJ52" i="2"/>
  <c r="AG52" i="2"/>
  <c r="AD52" i="2"/>
  <c r="AA52" i="2"/>
  <c r="X52" i="2"/>
  <c r="U52" i="2"/>
  <c r="R52" i="2"/>
  <c r="O52" i="2"/>
  <c r="L52" i="2"/>
  <c r="I52" i="2"/>
  <c r="F52" i="2"/>
  <c r="AM51" i="2"/>
  <c r="AK51" i="2"/>
  <c r="AJ51" i="2"/>
  <c r="AG51" i="2"/>
  <c r="AD51" i="2"/>
  <c r="AA51" i="2"/>
  <c r="X51" i="2"/>
  <c r="U51" i="2"/>
  <c r="R51" i="2"/>
  <c r="O51" i="2"/>
  <c r="L51" i="2"/>
  <c r="I51" i="2"/>
  <c r="F51" i="2"/>
  <c r="AH50" i="2"/>
  <c r="AE50" i="2"/>
  <c r="AJ50" i="2" s="1"/>
  <c r="AB50" i="2"/>
  <c r="Y50" i="2"/>
  <c r="V50" i="2"/>
  <c r="S50" i="2"/>
  <c r="X50" i="2" s="1"/>
  <c r="P50" i="2"/>
  <c r="R50" i="2" s="1"/>
  <c r="M50" i="2"/>
  <c r="O50" i="2" s="1"/>
  <c r="J50" i="2"/>
  <c r="G50" i="2"/>
  <c r="D50" i="2"/>
  <c r="B50" i="2"/>
  <c r="AM49" i="2"/>
  <c r="AK49" i="2"/>
  <c r="AJ49" i="2"/>
  <c r="AG49" i="2"/>
  <c r="AD49" i="2"/>
  <c r="AA49" i="2"/>
  <c r="X49" i="2"/>
  <c r="U49" i="2"/>
  <c r="R49" i="2"/>
  <c r="O49" i="2"/>
  <c r="L49" i="2"/>
  <c r="I49" i="2"/>
  <c r="F49" i="2"/>
  <c r="AM48" i="2"/>
  <c r="AK48" i="2"/>
  <c r="AJ48" i="2"/>
  <c r="AG48" i="2"/>
  <c r="AD48" i="2"/>
  <c r="AA48" i="2"/>
  <c r="X48" i="2"/>
  <c r="U48" i="2"/>
  <c r="R48" i="2"/>
  <c r="O48" i="2"/>
  <c r="L48" i="2"/>
  <c r="I48" i="2"/>
  <c r="F48" i="2"/>
  <c r="AM47" i="2"/>
  <c r="AK47" i="2"/>
  <c r="AJ47" i="2"/>
  <c r="AG47" i="2"/>
  <c r="AD47" i="2"/>
  <c r="AA47" i="2"/>
  <c r="X47" i="2"/>
  <c r="U47" i="2"/>
  <c r="R47" i="2"/>
  <c r="O47" i="2"/>
  <c r="L47" i="2"/>
  <c r="I47" i="2"/>
  <c r="F47" i="2"/>
  <c r="AM46" i="2"/>
  <c r="AK46" i="2"/>
  <c r="AJ46" i="2"/>
  <c r="AG46" i="2"/>
  <c r="AD46" i="2"/>
  <c r="AA46" i="2"/>
  <c r="X46" i="2"/>
  <c r="U46" i="2"/>
  <c r="R46" i="2"/>
  <c r="O46" i="2"/>
  <c r="L46" i="2"/>
  <c r="I46" i="2"/>
  <c r="F46" i="2"/>
  <c r="AH45" i="2"/>
  <c r="AE45" i="2"/>
  <c r="AB45" i="2"/>
  <c r="Y45" i="2"/>
  <c r="AA45" i="2" s="1"/>
  <c r="V45" i="2"/>
  <c r="X45" i="2" s="1"/>
  <c r="S45" i="2"/>
  <c r="P45" i="2"/>
  <c r="M45" i="2"/>
  <c r="J45" i="2"/>
  <c r="G45" i="2"/>
  <c r="D45" i="2"/>
  <c r="B45" i="2"/>
  <c r="AM42" i="2"/>
  <c r="AK42" i="2"/>
  <c r="AJ42" i="2"/>
  <c r="AG42" i="2"/>
  <c r="AD42" i="2"/>
  <c r="AA42" i="2"/>
  <c r="X42" i="2"/>
  <c r="U42" i="2"/>
  <c r="R42" i="2"/>
  <c r="O42" i="2"/>
  <c r="L42" i="2"/>
  <c r="I42" i="2"/>
  <c r="F42" i="2"/>
  <c r="AM41" i="2"/>
  <c r="AK41" i="2"/>
  <c r="AJ41" i="2"/>
  <c r="AG41" i="2"/>
  <c r="AD41" i="2"/>
  <c r="AA41" i="2"/>
  <c r="X41" i="2"/>
  <c r="U41" i="2"/>
  <c r="R41" i="2"/>
  <c r="O41" i="2"/>
  <c r="L41" i="2"/>
  <c r="I41" i="2"/>
  <c r="F41" i="2"/>
  <c r="AM40" i="2"/>
  <c r="AK40" i="2"/>
  <c r="AJ40" i="2"/>
  <c r="AG40" i="2"/>
  <c r="AD40" i="2"/>
  <c r="AA40" i="2"/>
  <c r="X40" i="2"/>
  <c r="U40" i="2"/>
  <c r="R40" i="2"/>
  <c r="O40" i="2"/>
  <c r="L40" i="2"/>
  <c r="I40" i="2"/>
  <c r="F40" i="2"/>
  <c r="AH39" i="2"/>
  <c r="AE39" i="2"/>
  <c r="AB39" i="2"/>
  <c r="Y39" i="2"/>
  <c r="V39" i="2"/>
  <c r="X39" i="2" s="1"/>
  <c r="S39" i="2"/>
  <c r="P39" i="2"/>
  <c r="M39" i="2"/>
  <c r="J39" i="2"/>
  <c r="G39" i="2"/>
  <c r="D39" i="2"/>
  <c r="B39" i="2"/>
  <c r="AM38" i="2"/>
  <c r="AK38" i="2"/>
  <c r="AJ38" i="2"/>
  <c r="AG38" i="2"/>
  <c r="AD38" i="2"/>
  <c r="AA38" i="2"/>
  <c r="X38" i="2"/>
  <c r="U38" i="2"/>
  <c r="R38" i="2"/>
  <c r="O38" i="2"/>
  <c r="L38" i="2"/>
  <c r="I38" i="2"/>
  <c r="F38" i="2"/>
  <c r="AM37" i="2"/>
  <c r="AK37" i="2"/>
  <c r="AJ37" i="2"/>
  <c r="AG37" i="2"/>
  <c r="AD37" i="2"/>
  <c r="AA37" i="2"/>
  <c r="X37" i="2"/>
  <c r="U37" i="2"/>
  <c r="R37" i="2"/>
  <c r="O37" i="2"/>
  <c r="L37" i="2"/>
  <c r="I37" i="2"/>
  <c r="F37" i="2"/>
  <c r="AM36" i="2"/>
  <c r="AK36" i="2"/>
  <c r="AJ36" i="2"/>
  <c r="AG36" i="2"/>
  <c r="AD36" i="2"/>
  <c r="AA36" i="2"/>
  <c r="X36" i="2"/>
  <c r="U36" i="2"/>
  <c r="R36" i="2"/>
  <c r="O36" i="2"/>
  <c r="L36" i="2"/>
  <c r="I36" i="2"/>
  <c r="F36" i="2"/>
  <c r="AM35" i="2"/>
  <c r="AK35" i="2"/>
  <c r="AJ35" i="2"/>
  <c r="AG35" i="2"/>
  <c r="AD35" i="2"/>
  <c r="AA35" i="2"/>
  <c r="X35" i="2"/>
  <c r="U35" i="2"/>
  <c r="R35" i="2"/>
  <c r="O35" i="2"/>
  <c r="L35" i="2"/>
  <c r="I35" i="2"/>
  <c r="F35" i="2"/>
  <c r="AM34" i="2"/>
  <c r="AK34" i="2"/>
  <c r="AJ34" i="2"/>
  <c r="AG34" i="2"/>
  <c r="AD34" i="2"/>
  <c r="AA34" i="2"/>
  <c r="X34" i="2"/>
  <c r="U34" i="2"/>
  <c r="R34" i="2"/>
  <c r="O34" i="2"/>
  <c r="L34" i="2"/>
  <c r="I34" i="2"/>
  <c r="F34" i="2"/>
  <c r="AM33" i="2"/>
  <c r="AK33" i="2"/>
  <c r="AJ33" i="2"/>
  <c r="AG33" i="2"/>
  <c r="AD33" i="2"/>
  <c r="AA33" i="2"/>
  <c r="X33" i="2"/>
  <c r="U33" i="2"/>
  <c r="R33" i="2"/>
  <c r="O33" i="2"/>
  <c r="L33" i="2"/>
  <c r="I33" i="2"/>
  <c r="F33" i="2"/>
  <c r="AH32" i="2"/>
  <c r="AE32" i="2"/>
  <c r="AB32" i="2"/>
  <c r="Y32" i="2"/>
  <c r="V32" i="2"/>
  <c r="S32" i="2"/>
  <c r="S31" i="2" s="1"/>
  <c r="P32" i="2"/>
  <c r="M32" i="2"/>
  <c r="J32" i="2"/>
  <c r="G32" i="2"/>
  <c r="D32" i="2"/>
  <c r="B32" i="2"/>
  <c r="AM30" i="2"/>
  <c r="AK30" i="2"/>
  <c r="AJ30" i="2"/>
  <c r="AG30" i="2"/>
  <c r="AD30" i="2"/>
  <c r="AA30" i="2"/>
  <c r="X30" i="2"/>
  <c r="U30" i="2"/>
  <c r="R30" i="2"/>
  <c r="O30" i="2"/>
  <c r="L30" i="2"/>
  <c r="I30" i="2"/>
  <c r="F30" i="2"/>
  <c r="AM29" i="2"/>
  <c r="AK29" i="2"/>
  <c r="AJ29" i="2"/>
  <c r="AG29" i="2"/>
  <c r="AD29" i="2"/>
  <c r="AA29" i="2"/>
  <c r="X29" i="2"/>
  <c r="U29" i="2"/>
  <c r="R29" i="2"/>
  <c r="O29" i="2"/>
  <c r="L29" i="2"/>
  <c r="I29" i="2"/>
  <c r="F29" i="2"/>
  <c r="AH28" i="2"/>
  <c r="AE28" i="2"/>
  <c r="AB28" i="2"/>
  <c r="Y28" i="2"/>
  <c r="V28" i="2"/>
  <c r="X28" i="2" s="1"/>
  <c r="S28" i="2"/>
  <c r="P28" i="2"/>
  <c r="M28" i="2"/>
  <c r="J28" i="2"/>
  <c r="G28" i="2"/>
  <c r="D28" i="2"/>
  <c r="B28" i="2"/>
  <c r="AM27" i="2"/>
  <c r="AK27" i="2"/>
  <c r="AJ27" i="2"/>
  <c r="AG27" i="2"/>
  <c r="AD27" i="2"/>
  <c r="AA27" i="2"/>
  <c r="X27" i="2"/>
  <c r="U27" i="2"/>
  <c r="R27" i="2"/>
  <c r="O27" i="2"/>
  <c r="L27" i="2"/>
  <c r="I27" i="2"/>
  <c r="F27" i="2"/>
  <c r="AM26" i="2"/>
  <c r="AK26" i="2"/>
  <c r="AJ26" i="2"/>
  <c r="AG26" i="2"/>
  <c r="AD26" i="2"/>
  <c r="AA26" i="2"/>
  <c r="X26" i="2"/>
  <c r="U26" i="2"/>
  <c r="R26" i="2"/>
  <c r="O26" i="2"/>
  <c r="L26" i="2"/>
  <c r="I26" i="2"/>
  <c r="F26" i="2"/>
  <c r="AM25" i="2"/>
  <c r="AK25" i="2"/>
  <c r="AJ25" i="2"/>
  <c r="AG25" i="2"/>
  <c r="AD25" i="2"/>
  <c r="AA25" i="2"/>
  <c r="X25" i="2"/>
  <c r="U25" i="2"/>
  <c r="R25" i="2"/>
  <c r="O25" i="2"/>
  <c r="L25" i="2"/>
  <c r="I25" i="2"/>
  <c r="F25" i="2"/>
  <c r="AH24" i="2"/>
  <c r="AE24" i="2"/>
  <c r="AB24" i="2"/>
  <c r="AD24" i="2" s="1"/>
  <c r="Y24" i="2"/>
  <c r="V24" i="2"/>
  <c r="S24" i="2"/>
  <c r="P24" i="2"/>
  <c r="M24" i="2"/>
  <c r="R24" i="2" s="1"/>
  <c r="J24" i="2"/>
  <c r="G24" i="2"/>
  <c r="D24" i="2"/>
  <c r="B24" i="2"/>
  <c r="AM23" i="2"/>
  <c r="AK23" i="2"/>
  <c r="AJ23" i="2"/>
  <c r="AG23" i="2"/>
  <c r="AD23" i="2"/>
  <c r="AA23" i="2"/>
  <c r="X23" i="2"/>
  <c r="U23" i="2"/>
  <c r="R23" i="2"/>
  <c r="O23" i="2"/>
  <c r="L23" i="2"/>
  <c r="I23" i="2"/>
  <c r="F23" i="2"/>
  <c r="AM22" i="2"/>
  <c r="AK22" i="2"/>
  <c r="AJ22" i="2"/>
  <c r="AG22" i="2"/>
  <c r="AD22" i="2"/>
  <c r="AA22" i="2"/>
  <c r="X22" i="2"/>
  <c r="U22" i="2"/>
  <c r="R22" i="2"/>
  <c r="O22" i="2"/>
  <c r="L22" i="2"/>
  <c r="I22" i="2"/>
  <c r="F22" i="2"/>
  <c r="AM21" i="2"/>
  <c r="AK21" i="2"/>
  <c r="AJ21" i="2"/>
  <c r="AG21" i="2"/>
  <c r="AD21" i="2"/>
  <c r="AA21" i="2"/>
  <c r="X21" i="2"/>
  <c r="U21" i="2"/>
  <c r="R21" i="2"/>
  <c r="O21" i="2"/>
  <c r="L21" i="2"/>
  <c r="I21" i="2"/>
  <c r="F21" i="2"/>
  <c r="AM20" i="2"/>
  <c r="AK20" i="2"/>
  <c r="AJ20" i="2"/>
  <c r="AG20" i="2"/>
  <c r="AD20" i="2"/>
  <c r="AA20" i="2"/>
  <c r="X20" i="2"/>
  <c r="U20" i="2"/>
  <c r="R20" i="2"/>
  <c r="O20" i="2"/>
  <c r="L20" i="2"/>
  <c r="I20" i="2"/>
  <c r="F20" i="2"/>
  <c r="AH19" i="2"/>
  <c r="AE19" i="2"/>
  <c r="AB19" i="2"/>
  <c r="Y19" i="2"/>
  <c r="V19" i="2"/>
  <c r="S19" i="2"/>
  <c r="P19" i="2"/>
  <c r="M19" i="2"/>
  <c r="J19" i="2"/>
  <c r="G19" i="2"/>
  <c r="D19" i="2"/>
  <c r="B19" i="2"/>
  <c r="AM18" i="2"/>
  <c r="AK18" i="2"/>
  <c r="AJ18" i="2"/>
  <c r="AG18" i="2"/>
  <c r="AD18" i="2"/>
  <c r="AA18" i="2"/>
  <c r="X18" i="2"/>
  <c r="U18" i="2"/>
  <c r="R18" i="2"/>
  <c r="O18" i="2"/>
  <c r="L18" i="2"/>
  <c r="I18" i="2"/>
  <c r="F18" i="2"/>
  <c r="AM17" i="2"/>
  <c r="AK17" i="2"/>
  <c r="AJ17" i="2"/>
  <c r="AG17" i="2"/>
  <c r="AD17" i="2"/>
  <c r="AA17" i="2"/>
  <c r="X17" i="2"/>
  <c r="U17" i="2"/>
  <c r="R17" i="2"/>
  <c r="O17" i="2"/>
  <c r="L17" i="2"/>
  <c r="I17" i="2"/>
  <c r="F17" i="2"/>
  <c r="AM16" i="2"/>
  <c r="AK16" i="2"/>
  <c r="AJ16" i="2"/>
  <c r="AG16" i="2"/>
  <c r="AD16" i="2"/>
  <c r="AA16" i="2"/>
  <c r="X16" i="2"/>
  <c r="U16" i="2"/>
  <c r="R16" i="2"/>
  <c r="O16" i="2"/>
  <c r="L16" i="2"/>
  <c r="I16" i="2"/>
  <c r="F16" i="2"/>
  <c r="AM15" i="2"/>
  <c r="AK15" i="2"/>
  <c r="AJ15" i="2"/>
  <c r="AG15" i="2"/>
  <c r="AD15" i="2"/>
  <c r="AA15" i="2"/>
  <c r="X15" i="2"/>
  <c r="U15" i="2"/>
  <c r="R15" i="2"/>
  <c r="O15" i="2"/>
  <c r="L15" i="2"/>
  <c r="I15" i="2"/>
  <c r="F15" i="2"/>
  <c r="AH14" i="2"/>
  <c r="AE14" i="2"/>
  <c r="AB14" i="2"/>
  <c r="Y14" i="2"/>
  <c r="AD14" i="2" s="1"/>
  <c r="V14" i="2"/>
  <c r="X14" i="2" s="1"/>
  <c r="S14" i="2"/>
  <c r="P14" i="2"/>
  <c r="M14" i="2"/>
  <c r="O14" i="2" s="1"/>
  <c r="J14" i="2"/>
  <c r="G14" i="2"/>
  <c r="D14" i="2"/>
  <c r="B14" i="2"/>
  <c r="AM13" i="2"/>
  <c r="AK13" i="2"/>
  <c r="AJ13" i="2"/>
  <c r="AG13" i="2"/>
  <c r="AD13" i="2"/>
  <c r="AA13" i="2"/>
  <c r="X13" i="2"/>
  <c r="U13" i="2"/>
  <c r="R13" i="2"/>
  <c r="O13" i="2"/>
  <c r="L13" i="2"/>
  <c r="I13" i="2"/>
  <c r="F13" i="2"/>
  <c r="AM12" i="2"/>
  <c r="AK12" i="2"/>
  <c r="AJ12" i="2"/>
  <c r="AG12" i="2"/>
  <c r="AD12" i="2"/>
  <c r="AA12" i="2"/>
  <c r="X12" i="2"/>
  <c r="U12" i="2"/>
  <c r="R12" i="2"/>
  <c r="O12" i="2"/>
  <c r="L12" i="2"/>
  <c r="I12" i="2"/>
  <c r="F12" i="2"/>
  <c r="AM11" i="2"/>
  <c r="AK11" i="2"/>
  <c r="AJ11" i="2"/>
  <c r="AG11" i="2"/>
  <c r="AD11" i="2"/>
  <c r="AA11" i="2"/>
  <c r="X11" i="2"/>
  <c r="U11" i="2"/>
  <c r="R11" i="2"/>
  <c r="O11" i="2"/>
  <c r="L11" i="2"/>
  <c r="I11" i="2"/>
  <c r="F11" i="2"/>
  <c r="AM10" i="2"/>
  <c r="AK10" i="2"/>
  <c r="AJ10" i="2"/>
  <c r="AG10" i="2"/>
  <c r="AD10" i="2"/>
  <c r="AA10" i="2"/>
  <c r="X10" i="2"/>
  <c r="U10" i="2"/>
  <c r="R10" i="2"/>
  <c r="O10" i="2"/>
  <c r="L10" i="2"/>
  <c r="I10" i="2"/>
  <c r="F10" i="2"/>
  <c r="AH9" i="2"/>
  <c r="AE9" i="2"/>
  <c r="AG9" i="2" s="1"/>
  <c r="AB9" i="2"/>
  <c r="Y9" i="2"/>
  <c r="V9" i="2"/>
  <c r="AA9" i="2" s="1"/>
  <c r="S9" i="2"/>
  <c r="P9" i="2"/>
  <c r="M9" i="2"/>
  <c r="J9" i="2"/>
  <c r="G9" i="2"/>
  <c r="D9" i="2"/>
  <c r="B9" i="2"/>
  <c r="AM8" i="2"/>
  <c r="AK8" i="2"/>
  <c r="AJ8" i="2"/>
  <c r="AG8" i="2"/>
  <c r="AD8" i="2"/>
  <c r="AA8" i="2"/>
  <c r="X8" i="2"/>
  <c r="U8" i="2"/>
  <c r="R8" i="2"/>
  <c r="O8" i="2"/>
  <c r="L8" i="2"/>
  <c r="I8" i="2"/>
  <c r="F8" i="2"/>
  <c r="AM7" i="2"/>
  <c r="AK7" i="2"/>
  <c r="AJ7" i="2"/>
  <c r="AG7" i="2"/>
  <c r="AD7" i="2"/>
  <c r="AA7" i="2"/>
  <c r="X7" i="2"/>
  <c r="U7" i="2"/>
  <c r="R7" i="2"/>
  <c r="O7" i="2"/>
  <c r="L7" i="2"/>
  <c r="I7" i="2"/>
  <c r="F7" i="2"/>
  <c r="AM6" i="2"/>
  <c r="AK6" i="2"/>
  <c r="AJ6" i="2"/>
  <c r="AG6" i="2"/>
  <c r="AD6" i="2"/>
  <c r="AA6" i="2"/>
  <c r="X6" i="2"/>
  <c r="U6" i="2"/>
  <c r="R6" i="2"/>
  <c r="O6" i="2"/>
  <c r="L6" i="2"/>
  <c r="I6" i="2"/>
  <c r="F6" i="2"/>
  <c r="AM5" i="2"/>
  <c r="AK5" i="2"/>
  <c r="AJ5" i="2"/>
  <c r="AG5" i="2"/>
  <c r="AD5" i="2"/>
  <c r="AA5" i="2"/>
  <c r="X5" i="2"/>
  <c r="U5" i="2"/>
  <c r="R5" i="2"/>
  <c r="O5" i="2"/>
  <c r="L5" i="2"/>
  <c r="I5" i="2"/>
  <c r="F5" i="2"/>
  <c r="AH4" i="2"/>
  <c r="AE4" i="2"/>
  <c r="AB4" i="2"/>
  <c r="Y4" i="2"/>
  <c r="V4" i="2"/>
  <c r="S4" i="2"/>
  <c r="P4" i="2"/>
  <c r="M4" i="2"/>
  <c r="J4" i="2"/>
  <c r="G4" i="2"/>
  <c r="D4" i="2"/>
  <c r="B4" i="2"/>
  <c r="N132" i="1"/>
  <c r="N131" i="1"/>
  <c r="N130" i="1"/>
  <c r="N129" i="1"/>
  <c r="N128" i="1"/>
  <c r="N127" i="1"/>
  <c r="N126" i="1"/>
  <c r="N125" i="1"/>
  <c r="N124" i="1"/>
  <c r="N123" i="1" s="1"/>
  <c r="M123" i="1"/>
  <c r="L123" i="1"/>
  <c r="K123" i="1"/>
  <c r="J123" i="1"/>
  <c r="I123" i="1"/>
  <c r="H123" i="1"/>
  <c r="G123" i="1"/>
  <c r="F123" i="1"/>
  <c r="E123" i="1"/>
  <c r="D123" i="1"/>
  <c r="C123" i="1"/>
  <c r="B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M40" i="1"/>
  <c r="L40" i="1"/>
  <c r="K40" i="1"/>
  <c r="J40" i="1"/>
  <c r="I40" i="1"/>
  <c r="H40" i="1"/>
  <c r="G40" i="1"/>
  <c r="F40" i="1"/>
  <c r="E40" i="1"/>
  <c r="D40" i="1"/>
  <c r="C40" i="1"/>
  <c r="B40" i="1"/>
  <c r="N39" i="1"/>
  <c r="N38" i="1"/>
  <c r="N37" i="1"/>
  <c r="N36" i="1"/>
  <c r="N35" i="1"/>
  <c r="N34" i="1"/>
  <c r="N33" i="1"/>
  <c r="N32" i="1"/>
  <c r="N31" i="1"/>
  <c r="N30" i="1"/>
  <c r="N29" i="1"/>
  <c r="M28" i="1"/>
  <c r="L28" i="1"/>
  <c r="K28" i="1"/>
  <c r="J28" i="1"/>
  <c r="I28" i="1"/>
  <c r="H28" i="1"/>
  <c r="G28" i="1"/>
  <c r="F28" i="1"/>
  <c r="E28" i="1"/>
  <c r="D28" i="1"/>
  <c r="C28" i="1"/>
  <c r="B28" i="1"/>
  <c r="N26" i="1"/>
  <c r="N25" i="1"/>
  <c r="N24" i="1"/>
  <c r="N23" i="1"/>
  <c r="N22" i="1"/>
  <c r="N21" i="1"/>
  <c r="M20" i="1"/>
  <c r="L20" i="1"/>
  <c r="K20" i="1"/>
  <c r="J20" i="1"/>
  <c r="I20" i="1"/>
  <c r="H20" i="1"/>
  <c r="G20" i="1"/>
  <c r="F20" i="1"/>
  <c r="E20" i="1"/>
  <c r="D20" i="1"/>
  <c r="C20" i="1"/>
  <c r="B20" i="1"/>
  <c r="N19" i="1"/>
  <c r="N18" i="1"/>
  <c r="N17" i="1"/>
  <c r="N16" i="1"/>
  <c r="N15" i="1"/>
  <c r="N14" i="1"/>
  <c r="M13" i="1"/>
  <c r="L13" i="1"/>
  <c r="K13" i="1"/>
  <c r="J13" i="1"/>
  <c r="I13" i="1"/>
  <c r="H13" i="1"/>
  <c r="G13" i="1"/>
  <c r="F13" i="1"/>
  <c r="E13" i="1"/>
  <c r="D13" i="1"/>
  <c r="C13" i="1"/>
  <c r="B13" i="1"/>
  <c r="N12" i="1"/>
  <c r="N11" i="1"/>
  <c r="N10" i="1"/>
  <c r="N9" i="1"/>
  <c r="N8" i="1"/>
  <c r="N7" i="1"/>
  <c r="N6" i="1"/>
  <c r="N5" i="1"/>
  <c r="M4" i="1"/>
  <c r="L4" i="1"/>
  <c r="K4" i="1"/>
  <c r="J4" i="1"/>
  <c r="I4" i="1"/>
  <c r="H4" i="1"/>
  <c r="G4" i="1"/>
  <c r="F4" i="1"/>
  <c r="E4" i="1"/>
  <c r="D4" i="1"/>
  <c r="C4" i="1"/>
  <c r="B4" i="1"/>
  <c r="L133" i="1" l="1"/>
  <c r="N13" i="1"/>
  <c r="AG106" i="2"/>
  <c r="R87" i="2"/>
  <c r="L75" i="2"/>
  <c r="B105" i="2"/>
  <c r="AE3" i="2"/>
  <c r="AF109" i="2" s="1"/>
  <c r="L45" i="2"/>
  <c r="AA70" i="2"/>
  <c r="AJ28" i="2"/>
  <c r="I32" i="2"/>
  <c r="X75" i="2"/>
  <c r="I87" i="2"/>
  <c r="R19" i="2"/>
  <c r="F24" i="2"/>
  <c r="AD144" i="2"/>
  <c r="F75" i="2"/>
  <c r="F118" i="2"/>
  <c r="AA39" i="2"/>
  <c r="R14" i="2"/>
  <c r="F186" i="2"/>
  <c r="AJ45" i="2"/>
  <c r="L9" i="2"/>
  <c r="AG32" i="2"/>
  <c r="R100" i="2"/>
  <c r="AD100" i="2"/>
  <c r="F100" i="2"/>
  <c r="O186" i="2"/>
  <c r="Y169" i="2"/>
  <c r="U176" i="2"/>
  <c r="I176" i="2"/>
  <c r="AK181" i="2"/>
  <c r="AG170" i="2"/>
  <c r="R186" i="2"/>
  <c r="X186" i="2"/>
  <c r="AB169" i="2"/>
  <c r="AD169" i="2" s="1"/>
  <c r="AA186" i="2"/>
  <c r="R176" i="2"/>
  <c r="AD186" i="2"/>
  <c r="D169" i="2"/>
  <c r="AA176" i="2"/>
  <c r="AD181" i="2"/>
  <c r="R170" i="2"/>
  <c r="X176" i="2"/>
  <c r="F170" i="2"/>
  <c r="AD170" i="2"/>
  <c r="J169" i="2"/>
  <c r="K169" i="2" s="1"/>
  <c r="AM186" i="2"/>
  <c r="V169" i="2"/>
  <c r="AA169" i="2" s="1"/>
  <c r="P151" i="2"/>
  <c r="P164" i="2" s="1"/>
  <c r="I156" i="2"/>
  <c r="D151" i="2"/>
  <c r="AB166" i="2"/>
  <c r="AE151" i="2"/>
  <c r="AE150" i="2" s="1"/>
  <c r="AG156" i="2"/>
  <c r="AH166" i="2"/>
  <c r="AJ166" i="2" s="1"/>
  <c r="AJ156" i="2"/>
  <c r="L144" i="2"/>
  <c r="I144" i="2"/>
  <c r="L106" i="2"/>
  <c r="I106" i="2"/>
  <c r="D105" i="2"/>
  <c r="F105" i="2" s="1"/>
  <c r="F106" i="2"/>
  <c r="X144" i="2"/>
  <c r="AK144" i="2"/>
  <c r="AA106" i="2"/>
  <c r="AD87" i="2"/>
  <c r="G86" i="2"/>
  <c r="I86" i="2" s="1"/>
  <c r="L87" i="2"/>
  <c r="Y86" i="2"/>
  <c r="AG87" i="2"/>
  <c r="AA100" i="2"/>
  <c r="I100" i="2"/>
  <c r="P86" i="2"/>
  <c r="Q86" i="2" s="1"/>
  <c r="U87" i="2"/>
  <c r="P64" i="2"/>
  <c r="O80" i="2"/>
  <c r="AD75" i="2"/>
  <c r="AA75" i="2"/>
  <c r="R80" i="2"/>
  <c r="U70" i="2"/>
  <c r="AJ70" i="2"/>
  <c r="AH64" i="2"/>
  <c r="AH60" i="2" s="1"/>
  <c r="AH54" i="2" s="1"/>
  <c r="AI54" i="2" s="1"/>
  <c r="I70" i="2"/>
  <c r="X65" i="2"/>
  <c r="B64" i="2"/>
  <c r="B60" i="2" s="1"/>
  <c r="AK75" i="2"/>
  <c r="V64" i="2"/>
  <c r="AG80" i="2"/>
  <c r="I75" i="2"/>
  <c r="D64" i="2"/>
  <c r="D60" i="2" s="1"/>
  <c r="O75" i="2"/>
  <c r="AA80" i="2"/>
  <c r="F45" i="2"/>
  <c r="AA50" i="2"/>
  <c r="AM50" i="2"/>
  <c r="F50" i="2"/>
  <c r="AK50" i="2"/>
  <c r="AD50" i="2"/>
  <c r="AD39" i="2"/>
  <c r="X32" i="2"/>
  <c r="Y31" i="2"/>
  <c r="L32" i="2"/>
  <c r="V31" i="2"/>
  <c r="X31" i="2" s="1"/>
  <c r="AH31" i="2"/>
  <c r="D31" i="2"/>
  <c r="AA32" i="2"/>
  <c r="G31" i="2"/>
  <c r="I31" i="2" s="1"/>
  <c r="F32" i="2"/>
  <c r="F39" i="2"/>
  <c r="L39" i="2"/>
  <c r="O39" i="2"/>
  <c r="AJ32" i="2"/>
  <c r="U32" i="2"/>
  <c r="AF5" i="2"/>
  <c r="AD28" i="2"/>
  <c r="AG28" i="2"/>
  <c r="O9" i="2"/>
  <c r="AK14" i="2"/>
  <c r="U9" i="2"/>
  <c r="AM14" i="2"/>
  <c r="I24" i="2"/>
  <c r="I4" i="2"/>
  <c r="L14" i="2"/>
  <c r="I28" i="2"/>
  <c r="AH3" i="2"/>
  <c r="AI57" i="2" s="1"/>
  <c r="P3" i="2"/>
  <c r="Q110" i="2" s="1"/>
  <c r="AJ14" i="2"/>
  <c r="L4" i="2"/>
  <c r="U24" i="2"/>
  <c r="U4" i="2"/>
  <c r="F19" i="2"/>
  <c r="AJ9" i="2"/>
  <c r="Q63" i="2"/>
  <c r="AD19" i="2"/>
  <c r="AA28" i="2"/>
  <c r="AG24" i="2"/>
  <c r="U14" i="2"/>
  <c r="AF19" i="2"/>
  <c r="AF108" i="2"/>
  <c r="F14" i="2"/>
  <c r="AK19" i="2"/>
  <c r="Q24" i="2"/>
  <c r="AM9" i="2"/>
  <c r="I14" i="2"/>
  <c r="AG14" i="2"/>
  <c r="U28" i="2"/>
  <c r="V3" i="2"/>
  <c r="W172" i="2" s="1"/>
  <c r="X4" i="2"/>
  <c r="AK28" i="2"/>
  <c r="B3" i="2"/>
  <c r="C184" i="2" s="1"/>
  <c r="L28" i="2"/>
  <c r="J133" i="1"/>
  <c r="J12" i="4" s="1"/>
  <c r="B133" i="1"/>
  <c r="C133" i="1"/>
  <c r="C12" i="4" s="1"/>
  <c r="I133" i="1"/>
  <c r="I12" i="4" s="1"/>
  <c r="E133" i="1"/>
  <c r="H133" i="1"/>
  <c r="H12" i="4" s="1"/>
  <c r="N40" i="1"/>
  <c r="M133" i="1"/>
  <c r="M12" i="4" s="1"/>
  <c r="D133" i="1"/>
  <c r="D12" i="4" s="1"/>
  <c r="F133" i="1"/>
  <c r="F12" i="4" s="1"/>
  <c r="G133" i="1"/>
  <c r="G12" i="4" s="1"/>
  <c r="K133" i="1"/>
  <c r="K12" i="4" s="1"/>
  <c r="N28" i="1"/>
  <c r="K3" i="1"/>
  <c r="E3" i="1"/>
  <c r="L3" i="1"/>
  <c r="H3" i="1"/>
  <c r="I3" i="1"/>
  <c r="J3" i="1"/>
  <c r="N4" i="1"/>
  <c r="M3" i="1"/>
  <c r="B3" i="1"/>
  <c r="B134" i="1" s="1"/>
  <c r="C3" i="1"/>
  <c r="D3" i="1"/>
  <c r="L12" i="4"/>
  <c r="B12" i="4"/>
  <c r="W131" i="2"/>
  <c r="W128" i="2"/>
  <c r="W74" i="2"/>
  <c r="W48" i="2"/>
  <c r="W49" i="2"/>
  <c r="W73" i="2"/>
  <c r="W20" i="2"/>
  <c r="V43" i="2"/>
  <c r="C180" i="2"/>
  <c r="C189" i="2"/>
  <c r="C183" i="2"/>
  <c r="C154" i="2"/>
  <c r="C160" i="2"/>
  <c r="C153" i="2"/>
  <c r="C131" i="2"/>
  <c r="C130" i="2"/>
  <c r="C122" i="2"/>
  <c r="C120" i="2"/>
  <c r="C102" i="2"/>
  <c r="C111" i="2"/>
  <c r="C103" i="2"/>
  <c r="C98" i="2"/>
  <c r="C88" i="2"/>
  <c r="C67" i="2"/>
  <c r="C61" i="2"/>
  <c r="C147" i="2"/>
  <c r="C77" i="2"/>
  <c r="C25" i="2"/>
  <c r="C63" i="2"/>
  <c r="C57" i="2"/>
  <c r="C17" i="2"/>
  <c r="C11" i="2"/>
  <c r="C84" i="2"/>
  <c r="C14" i="2"/>
  <c r="C24" i="2"/>
  <c r="C50" i="2"/>
  <c r="C8" i="2"/>
  <c r="C97" i="2"/>
  <c r="F80" i="2"/>
  <c r="R28" i="2"/>
  <c r="O28" i="2"/>
  <c r="Q180" i="2"/>
  <c r="Q189" i="2"/>
  <c r="Q186" i="2"/>
  <c r="Q183" i="2"/>
  <c r="Q171" i="2"/>
  <c r="Q161" i="2"/>
  <c r="Q146" i="2"/>
  <c r="Q140" i="2"/>
  <c r="Q134" i="2"/>
  <c r="Q179" i="2"/>
  <c r="Q178" i="2"/>
  <c r="Q117" i="2"/>
  <c r="Q173" i="2"/>
  <c r="Q181" i="2"/>
  <c r="Q135" i="2"/>
  <c r="Q109" i="2"/>
  <c r="Q103" i="2"/>
  <c r="Q94" i="2"/>
  <c r="Q83" i="2"/>
  <c r="Q77" i="2"/>
  <c r="Q127" i="2"/>
  <c r="Q145" i="2"/>
  <c r="Q143" i="2"/>
  <c r="Q138" i="2"/>
  <c r="Q139" i="2"/>
  <c r="Q136" i="2"/>
  <c r="Q102" i="2"/>
  <c r="Q111" i="2"/>
  <c r="Q82" i="2"/>
  <c r="Q81" i="2"/>
  <c r="Q62" i="2"/>
  <c r="Q38" i="2"/>
  <c r="Q90" i="2"/>
  <c r="Q73" i="2"/>
  <c r="Q67" i="2"/>
  <c r="Q71" i="2"/>
  <c r="Q36" i="2"/>
  <c r="Q27" i="2"/>
  <c r="Q21" i="2"/>
  <c r="Q15" i="2"/>
  <c r="Q121" i="2"/>
  <c r="Q26" i="2"/>
  <c r="Q40" i="2"/>
  <c r="Q25" i="2"/>
  <c r="Q13" i="2"/>
  <c r="Q7" i="2"/>
  <c r="Q128" i="2"/>
  <c r="Q6" i="2"/>
  <c r="AK9" i="2"/>
  <c r="Q23" i="2"/>
  <c r="M31" i="2"/>
  <c r="O32" i="2"/>
  <c r="AB3" i="2"/>
  <c r="AC4" i="2" s="1"/>
  <c r="AI14" i="2"/>
  <c r="O24" i="2"/>
  <c r="L24" i="2"/>
  <c r="Q29" i="2"/>
  <c r="AG39" i="2"/>
  <c r="AF39" i="2"/>
  <c r="AE31" i="2"/>
  <c r="AJ31" i="2" s="1"/>
  <c r="AF50" i="2"/>
  <c r="AF53" i="2"/>
  <c r="AF67" i="2"/>
  <c r="M3" i="2"/>
  <c r="N4" i="2" s="1"/>
  <c r="AD4" i="2"/>
  <c r="AA4" i="2"/>
  <c r="R9" i="2"/>
  <c r="Q9" i="2"/>
  <c r="AA19" i="2"/>
  <c r="AD32" i="2"/>
  <c r="AJ39" i="2"/>
  <c r="AG50" i="2"/>
  <c r="J64" i="2"/>
  <c r="L65" i="2"/>
  <c r="AM80" i="2"/>
  <c r="AK80" i="2"/>
  <c r="C80" i="2"/>
  <c r="AD80" i="2"/>
  <c r="O70" i="2"/>
  <c r="R45" i="2"/>
  <c r="O45" i="2"/>
  <c r="L19" i="2"/>
  <c r="I19" i="2"/>
  <c r="P60" i="2"/>
  <c r="AD70" i="2"/>
  <c r="AB64" i="2"/>
  <c r="AG70" i="2"/>
  <c r="E12" i="4"/>
  <c r="AF188" i="2"/>
  <c r="AF184" i="2"/>
  <c r="AF189" i="2"/>
  <c r="AF183" i="2"/>
  <c r="AF176" i="2"/>
  <c r="AF174" i="2"/>
  <c r="AF171" i="2"/>
  <c r="AF135" i="2"/>
  <c r="AF161" i="2"/>
  <c r="AF158" i="2"/>
  <c r="AF173" i="2"/>
  <c r="AF130" i="2"/>
  <c r="AF124" i="2"/>
  <c r="AF152" i="2"/>
  <c r="AF180" i="2"/>
  <c r="AF148" i="2"/>
  <c r="AF139" i="2"/>
  <c r="AF132" i="2"/>
  <c r="AF165" i="2"/>
  <c r="AF92" i="2"/>
  <c r="AF140" i="2"/>
  <c r="AF136" i="2"/>
  <c r="AF123" i="2"/>
  <c r="AF117" i="2"/>
  <c r="AF107" i="2"/>
  <c r="AF102" i="2"/>
  <c r="AF142" i="2"/>
  <c r="AF129" i="2"/>
  <c r="AF126" i="2"/>
  <c r="AF122" i="2"/>
  <c r="AF155" i="2"/>
  <c r="AF128" i="2"/>
  <c r="AF138" i="2"/>
  <c r="AF99" i="2"/>
  <c r="AF112" i="2"/>
  <c r="AF96" i="2"/>
  <c r="AF70" i="2"/>
  <c r="AF57" i="2"/>
  <c r="AF97" i="2"/>
  <c r="AF83" i="2"/>
  <c r="AF77" i="2"/>
  <c r="AF120" i="2"/>
  <c r="AF82" i="2"/>
  <c r="AF62" i="2"/>
  <c r="AF88" i="2"/>
  <c r="AF87" i="2"/>
  <c r="AF72" i="2"/>
  <c r="AF66" i="2"/>
  <c r="AF58" i="2"/>
  <c r="AF115" i="2"/>
  <c r="AF73" i="2"/>
  <c r="AF38" i="2"/>
  <c r="AF35" i="2"/>
  <c r="AF34" i="2"/>
  <c r="AF32" i="2"/>
  <c r="AF3" i="2"/>
  <c r="AF47" i="2"/>
  <c r="AF46" i="2"/>
  <c r="AE43" i="2"/>
  <c r="AF26" i="2"/>
  <c r="AF20" i="2"/>
  <c r="AF25" i="2"/>
  <c r="F9" i="2"/>
  <c r="AM45" i="2"/>
  <c r="Q99" i="2"/>
  <c r="AF4" i="2"/>
  <c r="N32" i="2"/>
  <c r="AG4" i="2"/>
  <c r="I9" i="2"/>
  <c r="X9" i="2"/>
  <c r="AA14" i="2"/>
  <c r="AF18" i="2"/>
  <c r="O19" i="2"/>
  <c r="AF29" i="2"/>
  <c r="R32" i="2"/>
  <c r="AK32" i="2"/>
  <c r="AM39" i="2"/>
  <c r="B31" i="2"/>
  <c r="AK39" i="2"/>
  <c r="U50" i="2"/>
  <c r="Q53" i="2"/>
  <c r="L70" i="2"/>
  <c r="M105" i="2"/>
  <c r="O106" i="2"/>
  <c r="R106" i="2"/>
  <c r="AJ24" i="2"/>
  <c r="P31" i="2"/>
  <c r="U31" i="2" s="1"/>
  <c r="R39" i="2"/>
  <c r="AJ19" i="2"/>
  <c r="AG19" i="2"/>
  <c r="F3" i="1"/>
  <c r="S3" i="2"/>
  <c r="T100" i="2" s="1"/>
  <c r="Q5" i="2"/>
  <c r="AF15" i="2"/>
  <c r="Q16" i="2"/>
  <c r="AA24" i="2"/>
  <c r="X24" i="2"/>
  <c r="AF52" i="2"/>
  <c r="AD65" i="2"/>
  <c r="AA65" i="2"/>
  <c r="Y64" i="2"/>
  <c r="AJ87" i="2"/>
  <c r="AH86" i="2"/>
  <c r="Q107" i="2"/>
  <c r="AI187" i="2"/>
  <c r="AI165" i="2"/>
  <c r="AI123" i="2"/>
  <c r="AI91" i="2"/>
  <c r="AI112" i="2"/>
  <c r="AI141" i="2"/>
  <c r="AI84" i="2"/>
  <c r="AI102" i="2"/>
  <c r="AI33" i="2"/>
  <c r="AI45" i="2"/>
  <c r="AI72" i="2"/>
  <c r="AK24" i="2"/>
  <c r="D3" i="2"/>
  <c r="E39" i="2" s="1"/>
  <c r="F4" i="2"/>
  <c r="AM4" i="2"/>
  <c r="Q19" i="2"/>
  <c r="AM32" i="2"/>
  <c r="Q34" i="2"/>
  <c r="L118" i="2"/>
  <c r="K118" i="2"/>
  <c r="AM118" i="2"/>
  <c r="J105" i="2"/>
  <c r="Y3" i="2"/>
  <c r="Z100" i="2" s="1"/>
  <c r="AJ4" i="2"/>
  <c r="AM24" i="2"/>
  <c r="F28" i="2"/>
  <c r="AM28" i="2"/>
  <c r="C28" i="2"/>
  <c r="C32" i="2"/>
  <c r="L50" i="2"/>
  <c r="I50" i="2"/>
  <c r="F65" i="2"/>
  <c r="AM65" i="2"/>
  <c r="AK65" i="2"/>
  <c r="AI69" i="2"/>
  <c r="X80" i="2"/>
  <c r="U80" i="2"/>
  <c r="AF94" i="2"/>
  <c r="N20" i="1"/>
  <c r="N3" i="1" s="1"/>
  <c r="J3" i="2"/>
  <c r="K70" i="2" s="1"/>
  <c r="G3" i="2"/>
  <c r="H19" i="2" s="1"/>
  <c r="AK4" i="2"/>
  <c r="AD9" i="2"/>
  <c r="AI11" i="2"/>
  <c r="Q14" i="2"/>
  <c r="AF17" i="2"/>
  <c r="X19" i="2"/>
  <c r="U19" i="2"/>
  <c r="E28" i="2"/>
  <c r="AA31" i="2"/>
  <c r="V60" i="2"/>
  <c r="AG65" i="2"/>
  <c r="AE64" i="2"/>
  <c r="AJ65" i="2"/>
  <c r="AJ75" i="2"/>
  <c r="AG75" i="2"/>
  <c r="AH162" i="2"/>
  <c r="AI105" i="2"/>
  <c r="P105" i="2"/>
  <c r="R118" i="2"/>
  <c r="R4" i="2"/>
  <c r="O4" i="2"/>
  <c r="Q20" i="2"/>
  <c r="G3" i="1"/>
  <c r="Q8" i="2"/>
  <c r="AM19" i="2"/>
  <c r="AF23" i="2"/>
  <c r="AD45" i="2"/>
  <c r="I65" i="2"/>
  <c r="G64" i="2"/>
  <c r="AF75" i="2"/>
  <c r="J31" i="2"/>
  <c r="Q87" i="2"/>
  <c r="AF100" i="2"/>
  <c r="AE86" i="2"/>
  <c r="T14" i="2"/>
  <c r="AF14" i="2"/>
  <c r="U39" i="2"/>
  <c r="R65" i="2"/>
  <c r="O65" i="2"/>
  <c r="M64" i="2"/>
  <c r="R64" i="2" s="1"/>
  <c r="AI65" i="2"/>
  <c r="AM75" i="2"/>
  <c r="C75" i="2"/>
  <c r="L80" i="2"/>
  <c r="I80" i="2"/>
  <c r="AF80" i="2"/>
  <c r="AG100" i="2"/>
  <c r="AA118" i="2"/>
  <c r="AB31" i="2"/>
  <c r="Q32" i="2"/>
  <c r="AG45" i="2"/>
  <c r="R70" i="2"/>
  <c r="Q70" i="2"/>
  <c r="U75" i="2"/>
  <c r="M86" i="2"/>
  <c r="N100" i="2"/>
  <c r="I39" i="2"/>
  <c r="N80" i="2"/>
  <c r="AJ80" i="2"/>
  <c r="AK100" i="2"/>
  <c r="AD118" i="2"/>
  <c r="U45" i="2"/>
  <c r="U65" i="2"/>
  <c r="S64" i="2"/>
  <c r="AK70" i="2"/>
  <c r="AM70" i="2"/>
  <c r="AK87" i="2"/>
  <c r="AG118" i="2"/>
  <c r="AJ118" i="2"/>
  <c r="AF28" i="2"/>
  <c r="C70" i="2"/>
  <c r="X87" i="2"/>
  <c r="V86" i="2"/>
  <c r="AI32" i="2"/>
  <c r="I45" i="2"/>
  <c r="AK45" i="2"/>
  <c r="F70" i="2"/>
  <c r="X70" i="2"/>
  <c r="H86" i="2"/>
  <c r="AM106" i="2"/>
  <c r="AK106" i="2"/>
  <c r="F87" i="2"/>
  <c r="AB162" i="2"/>
  <c r="I118" i="2"/>
  <c r="H118" i="2"/>
  <c r="U100" i="2"/>
  <c r="J86" i="2"/>
  <c r="K87" i="2"/>
  <c r="C100" i="2"/>
  <c r="AM100" i="2"/>
  <c r="AI106" i="2"/>
  <c r="AJ106" i="2"/>
  <c r="AA87" i="2"/>
  <c r="X100" i="2"/>
  <c r="S105" i="2"/>
  <c r="U106" i="2"/>
  <c r="AK118" i="2"/>
  <c r="V150" i="2"/>
  <c r="V164" i="2"/>
  <c r="Y151" i="2"/>
  <c r="AD151" i="2" s="1"/>
  <c r="AA156" i="2"/>
  <c r="Y166" i="2"/>
  <c r="AD156" i="2"/>
  <c r="O87" i="2"/>
  <c r="V105" i="2"/>
  <c r="AB164" i="2"/>
  <c r="AB150" i="2"/>
  <c r="Z80" i="2"/>
  <c r="AM87" i="2"/>
  <c r="C87" i="2"/>
  <c r="AC87" i="2"/>
  <c r="X106" i="2"/>
  <c r="AG144" i="2"/>
  <c r="B151" i="2"/>
  <c r="F151" i="2" s="1"/>
  <c r="AM156" i="2"/>
  <c r="AK156" i="2"/>
  <c r="F156" i="2"/>
  <c r="Z75" i="2"/>
  <c r="B86" i="2"/>
  <c r="AB86" i="2"/>
  <c r="L100" i="2"/>
  <c r="Y105" i="2"/>
  <c r="AD105" i="2" s="1"/>
  <c r="AD106" i="2"/>
  <c r="L156" i="2"/>
  <c r="J166" i="2"/>
  <c r="J151" i="2"/>
  <c r="K186" i="2"/>
  <c r="AJ186" i="2"/>
  <c r="AE169" i="2"/>
  <c r="AG186" i="2"/>
  <c r="D164" i="2"/>
  <c r="D150" i="2"/>
  <c r="I151" i="2"/>
  <c r="R156" i="2"/>
  <c r="M166" i="2"/>
  <c r="M151" i="2"/>
  <c r="O156" i="2"/>
  <c r="N156" i="2"/>
  <c r="AI100" i="2"/>
  <c r="AJ100" i="2"/>
  <c r="Q106" i="2"/>
  <c r="AE105" i="2"/>
  <c r="AJ105" i="2" s="1"/>
  <c r="O118" i="2"/>
  <c r="N118" i="2"/>
  <c r="S166" i="2"/>
  <c r="U156" i="2"/>
  <c r="I181" i="2"/>
  <c r="H181" i="2"/>
  <c r="G169" i="2"/>
  <c r="V166" i="2"/>
  <c r="X156" i="2"/>
  <c r="AJ176" i="2"/>
  <c r="G105" i="2"/>
  <c r="U118" i="2"/>
  <c r="AJ144" i="2"/>
  <c r="S151" i="2"/>
  <c r="AM176" i="2"/>
  <c r="F166" i="2"/>
  <c r="AA144" i="2"/>
  <c r="Z144" i="2"/>
  <c r="H150" i="2"/>
  <c r="AE164" i="2"/>
  <c r="L170" i="2"/>
  <c r="O170" i="2"/>
  <c r="AM170" i="2"/>
  <c r="K170" i="2"/>
  <c r="AJ170" i="2"/>
  <c r="AH169" i="2"/>
  <c r="L176" i="2"/>
  <c r="O176" i="2"/>
  <c r="U181" i="2"/>
  <c r="S169" i="2"/>
  <c r="Z169" i="2"/>
  <c r="AI170" i="2"/>
  <c r="AM144" i="2"/>
  <c r="C144" i="2"/>
  <c r="F144" i="2"/>
  <c r="O144" i="2"/>
  <c r="G166" i="2"/>
  <c r="L181" i="2"/>
  <c r="K181" i="2"/>
  <c r="AH164" i="2"/>
  <c r="AH150" i="2"/>
  <c r="R181" i="2"/>
  <c r="P169" i="2"/>
  <c r="G164" i="2"/>
  <c r="X170" i="2"/>
  <c r="AA170" i="2"/>
  <c r="O181" i="2"/>
  <c r="N181" i="2"/>
  <c r="L186" i="2"/>
  <c r="N169" i="2"/>
  <c r="X181" i="2"/>
  <c r="AF156" i="2"/>
  <c r="AC166" i="2"/>
  <c r="AA181" i="2"/>
  <c r="AK186" i="2"/>
  <c r="F176" i="2"/>
  <c r="AK176" i="2"/>
  <c r="U186" i="2"/>
  <c r="AG166" i="2"/>
  <c r="AK170" i="2"/>
  <c r="B169" i="2"/>
  <c r="F169" i="2" s="1"/>
  <c r="F181" i="2"/>
  <c r="AM181" i="2"/>
  <c r="AG181" i="2"/>
  <c r="AJ181" i="2"/>
  <c r="AI181" i="2"/>
  <c r="H186" i="2"/>
  <c r="D19" i="4"/>
  <c r="D23" i="4"/>
  <c r="B20" i="4"/>
  <c r="B24" i="4"/>
  <c r="C20" i="4"/>
  <c r="C24" i="4"/>
  <c r="B28" i="3"/>
  <c r="B47" i="3"/>
  <c r="D20" i="4"/>
  <c r="D24" i="4"/>
  <c r="C28" i="3"/>
  <c r="C21" i="4" s="1"/>
  <c r="C47" i="3"/>
  <c r="B21" i="4"/>
  <c r="D28" i="3"/>
  <c r="D21" i="4" s="1"/>
  <c r="D47" i="3"/>
  <c r="B22" i="4"/>
  <c r="C22" i="4"/>
  <c r="B135" i="1" l="1"/>
  <c r="E151" i="2"/>
  <c r="AC151" i="2"/>
  <c r="C23" i="2"/>
  <c r="C90" i="2"/>
  <c r="C142" i="2"/>
  <c r="AF166" i="2"/>
  <c r="AF45" i="2"/>
  <c r="Q89" i="2"/>
  <c r="AC24" i="2"/>
  <c r="Q22" i="2"/>
  <c r="Q95" i="2"/>
  <c r="AF7" i="2"/>
  <c r="AF61" i="2"/>
  <c r="AF81" i="2"/>
  <c r="AF89" i="2"/>
  <c r="AF33" i="2"/>
  <c r="AF71" i="2"/>
  <c r="AF78" i="2"/>
  <c r="AF143" i="2"/>
  <c r="AF160" i="2"/>
  <c r="AF167" i="2"/>
  <c r="AF172" i="2"/>
  <c r="AF6" i="2"/>
  <c r="Q41" i="2"/>
  <c r="Q61" i="2"/>
  <c r="Q68" i="2"/>
  <c r="Q93" i="2"/>
  <c r="Q104" i="2"/>
  <c r="Q154" i="2"/>
  <c r="Q156" i="2"/>
  <c r="Q187" i="2"/>
  <c r="C15" i="2"/>
  <c r="C51" i="2"/>
  <c r="C41" i="2"/>
  <c r="C106" i="2"/>
  <c r="C95" i="2"/>
  <c r="C124" i="2"/>
  <c r="C173" i="2"/>
  <c r="AC70" i="2"/>
  <c r="C37" i="2"/>
  <c r="C40" i="2"/>
  <c r="C172" i="2"/>
  <c r="C145" i="2"/>
  <c r="AF186" i="2"/>
  <c r="T181" i="2"/>
  <c r="E118" i="2"/>
  <c r="C105" i="2"/>
  <c r="Q92" i="2"/>
  <c r="Q45" i="2"/>
  <c r="AF65" i="2"/>
  <c r="AF10" i="2"/>
  <c r="C65" i="2"/>
  <c r="AF21" i="2"/>
  <c r="Q28" i="2"/>
  <c r="AF12" i="2"/>
  <c r="AF13" i="2"/>
  <c r="AF127" i="2"/>
  <c r="AF106" i="2"/>
  <c r="AF91" i="2"/>
  <c r="AF51" i="2"/>
  <c r="AF103" i="2"/>
  <c r="AF84" i="2"/>
  <c r="AF134" i="2"/>
  <c r="AF185" i="2"/>
  <c r="AF177" i="2"/>
  <c r="AF178" i="2"/>
  <c r="AF30" i="2"/>
  <c r="Q3" i="2"/>
  <c r="Q49" i="2"/>
  <c r="Q59" i="2"/>
  <c r="Q74" i="2"/>
  <c r="Q114" i="2"/>
  <c r="Q126" i="2"/>
  <c r="Q157" i="2"/>
  <c r="Q159" i="2"/>
  <c r="C10" i="2"/>
  <c r="C52" i="2"/>
  <c r="C94" i="2"/>
  <c r="C132" i="2"/>
  <c r="C118" i="2"/>
  <c r="C125" i="2"/>
  <c r="C186" i="2"/>
  <c r="O169" i="2"/>
  <c r="AC105" i="2"/>
  <c r="AC9" i="2"/>
  <c r="C110" i="2"/>
  <c r="C138" i="2"/>
  <c r="Q151" i="2"/>
  <c r="E106" i="2"/>
  <c r="E100" i="2"/>
  <c r="D162" i="2"/>
  <c r="E162" i="2" s="1"/>
  <c r="AF11" i="2"/>
  <c r="C45" i="2"/>
  <c r="AF49" i="2"/>
  <c r="AF9" i="2"/>
  <c r="AF59" i="2"/>
  <c r="AF68" i="2"/>
  <c r="AF63" i="2"/>
  <c r="AF113" i="2"/>
  <c r="AF121" i="2"/>
  <c r="AF98" i="2"/>
  <c r="AF145" i="2"/>
  <c r="AF141" i="2"/>
  <c r="AF157" i="2"/>
  <c r="Q58" i="2"/>
  <c r="AG3" i="2"/>
  <c r="AF24" i="2"/>
  <c r="Q12" i="2"/>
  <c r="Q72" i="2"/>
  <c r="Q96" i="2"/>
  <c r="Q115" i="2"/>
  <c r="Q120" i="2"/>
  <c r="Q142" i="2"/>
  <c r="Q123" i="2"/>
  <c r="Q158" i="2"/>
  <c r="C26" i="2"/>
  <c r="C136" i="2"/>
  <c r="C36" i="2"/>
  <c r="C109" i="2"/>
  <c r="C101" i="2"/>
  <c r="C137" i="2"/>
  <c r="C175" i="2"/>
  <c r="AF40" i="2"/>
  <c r="AF150" i="2"/>
  <c r="AC75" i="2"/>
  <c r="C188" i="2"/>
  <c r="C140" i="2"/>
  <c r="C157" i="2"/>
  <c r="R151" i="2"/>
  <c r="AF144" i="2"/>
  <c r="C19" i="2"/>
  <c r="Q100" i="2"/>
  <c r="AC28" i="2"/>
  <c r="Q57" i="2"/>
  <c r="AC19" i="2"/>
  <c r="C4" i="2"/>
  <c r="AF41" i="2"/>
  <c r="Q66" i="2"/>
  <c r="AF48" i="2"/>
  <c r="AF36" i="2"/>
  <c r="AF111" i="2"/>
  <c r="AF74" i="2"/>
  <c r="AF69" i="2"/>
  <c r="AF137" i="2"/>
  <c r="AF125" i="2"/>
  <c r="AF104" i="2"/>
  <c r="AF146" i="2"/>
  <c r="AF147" i="2"/>
  <c r="AF175" i="2"/>
  <c r="C9" i="2"/>
  <c r="Q52" i="2"/>
  <c r="Q30" i="2"/>
  <c r="Q125" i="2"/>
  <c r="Q101" i="2"/>
  <c r="Q131" i="2"/>
  <c r="Q133" i="2"/>
  <c r="Q141" i="2"/>
  <c r="Q129" i="2"/>
  <c r="Q182" i="2"/>
  <c r="C22" i="2"/>
  <c r="C69" i="2"/>
  <c r="C12" i="2"/>
  <c r="C48" i="2"/>
  <c r="C135" i="2"/>
  <c r="C107" i="2"/>
  <c r="C174" i="2"/>
  <c r="C181" i="2"/>
  <c r="E169" i="2"/>
  <c r="AC106" i="2"/>
  <c r="AC50" i="2"/>
  <c r="C156" i="2"/>
  <c r="C58" i="2"/>
  <c r="E181" i="2"/>
  <c r="P150" i="2"/>
  <c r="E86" i="2"/>
  <c r="AF118" i="2"/>
  <c r="AI64" i="2"/>
  <c r="AF56" i="2"/>
  <c r="Q119" i="2"/>
  <c r="Q51" i="2"/>
  <c r="AF154" i="2"/>
  <c r="AJ3" i="2"/>
  <c r="B43" i="2"/>
  <c r="Q4" i="2"/>
  <c r="AF131" i="2"/>
  <c r="AF37" i="2"/>
  <c r="AF16" i="2"/>
  <c r="AF76" i="2"/>
  <c r="AF93" i="2"/>
  <c r="AF116" i="2"/>
  <c r="AF95" i="2"/>
  <c r="AF110" i="2"/>
  <c r="AF159" i="2"/>
  <c r="AF153" i="2"/>
  <c r="AF187" i="2"/>
  <c r="Q42" i="2"/>
  <c r="Q46" i="2"/>
  <c r="Q116" i="2"/>
  <c r="Q76" i="2"/>
  <c r="Q166" i="2"/>
  <c r="Q91" i="2"/>
  <c r="Q148" i="2"/>
  <c r="Q184" i="2"/>
  <c r="C38" i="2"/>
  <c r="C33" i="2"/>
  <c r="C18" i="2"/>
  <c r="C72" i="2"/>
  <c r="C81" i="2"/>
  <c r="C115" i="2"/>
  <c r="C127" i="2"/>
  <c r="C165" i="2"/>
  <c r="W143" i="2"/>
  <c r="Q10" i="2"/>
  <c r="C166" i="2"/>
  <c r="C62" i="2"/>
  <c r="C170" i="2"/>
  <c r="Q39" i="2"/>
  <c r="AF181" i="2"/>
  <c r="Q80" i="2"/>
  <c r="AC32" i="2"/>
  <c r="AC45" i="2"/>
  <c r="Q118" i="2"/>
  <c r="AF55" i="2"/>
  <c r="AF8" i="2"/>
  <c r="AF27" i="2"/>
  <c r="AF22" i="2"/>
  <c r="AF79" i="2"/>
  <c r="AF114" i="2"/>
  <c r="AF119" i="2"/>
  <c r="AF101" i="2"/>
  <c r="AF133" i="2"/>
  <c r="AF170" i="2"/>
  <c r="AF179" i="2"/>
  <c r="AF182" i="2"/>
  <c r="AF42" i="2"/>
  <c r="AF90" i="2"/>
  <c r="Q55" i="2"/>
  <c r="Q47" i="2"/>
  <c r="Q132" i="2"/>
  <c r="Q78" i="2"/>
  <c r="Q130" i="2"/>
  <c r="Q97" i="2"/>
  <c r="Q153" i="2"/>
  <c r="Q188" i="2"/>
  <c r="C16" i="2"/>
  <c r="C35" i="2"/>
  <c r="C30" i="2"/>
  <c r="C99" i="2"/>
  <c r="C112" i="2"/>
  <c r="C116" i="2"/>
  <c r="C179" i="2"/>
  <c r="C177" i="2"/>
  <c r="Q33" i="2"/>
  <c r="L169" i="2"/>
  <c r="AD166" i="2"/>
  <c r="AG151" i="2"/>
  <c r="AM166" i="2"/>
  <c r="AF151" i="2"/>
  <c r="AJ151" i="2"/>
  <c r="U86" i="2"/>
  <c r="AH44" i="2"/>
  <c r="AI44" i="2" s="1"/>
  <c r="F64" i="2"/>
  <c r="W31" i="2"/>
  <c r="AI90" i="2"/>
  <c r="AI40" i="2"/>
  <c r="AI46" i="2"/>
  <c r="AI34" i="2"/>
  <c r="AI160" i="2"/>
  <c r="AI104" i="2"/>
  <c r="AI172" i="2"/>
  <c r="AI113" i="2"/>
  <c r="AI97" i="2"/>
  <c r="AI129" i="2"/>
  <c r="AI157" i="2"/>
  <c r="AI19" i="2"/>
  <c r="Q11" i="2"/>
  <c r="Q18" i="2"/>
  <c r="Q69" i="2"/>
  <c r="Q37" i="2"/>
  <c r="Q98" i="2"/>
  <c r="Q79" i="2"/>
  <c r="Q124" i="2"/>
  <c r="Q122" i="2"/>
  <c r="Q167" i="2"/>
  <c r="Q170" i="2"/>
  <c r="Q172" i="2"/>
  <c r="Q174" i="2"/>
  <c r="C34" i="2"/>
  <c r="C78" i="2"/>
  <c r="C93" i="2"/>
  <c r="C53" i="2"/>
  <c r="C143" i="2"/>
  <c r="C42" i="2"/>
  <c r="C73" i="2"/>
  <c r="C76" i="2"/>
  <c r="C134" i="2"/>
  <c r="C119" i="2"/>
  <c r="C126" i="2"/>
  <c r="C148" i="2"/>
  <c r="C187" i="2"/>
  <c r="Q17" i="2"/>
  <c r="AI87" i="2"/>
  <c r="AI47" i="2"/>
  <c r="AI35" i="2"/>
  <c r="AI81" i="2"/>
  <c r="AI125" i="2"/>
  <c r="AI114" i="2"/>
  <c r="AI103" i="2"/>
  <c r="AI147" i="2"/>
  <c r="AI167" i="2"/>
  <c r="AI50" i="2"/>
  <c r="AI10" i="2"/>
  <c r="Q35" i="2"/>
  <c r="AI166" i="2"/>
  <c r="K144" i="2"/>
  <c r="AI144" i="2"/>
  <c r="AI41" i="2"/>
  <c r="AI107" i="2"/>
  <c r="AI156" i="2"/>
  <c r="AI186" i="2"/>
  <c r="K100" i="2"/>
  <c r="K50" i="2"/>
  <c r="AI58" i="2"/>
  <c r="AI88" i="2"/>
  <c r="AI61" i="2"/>
  <c r="AI63" i="2"/>
  <c r="AI38" i="2"/>
  <c r="AI93" i="2"/>
  <c r="AI132" i="2"/>
  <c r="AI115" i="2"/>
  <c r="AI109" i="2"/>
  <c r="AI185" i="2"/>
  <c r="AI179" i="2"/>
  <c r="Q64" i="2"/>
  <c r="Q75" i="2"/>
  <c r="Q48" i="2"/>
  <c r="Q88" i="2"/>
  <c r="Q56" i="2"/>
  <c r="Q84" i="2"/>
  <c r="Q147" i="2"/>
  <c r="Q137" i="2"/>
  <c r="Q144" i="2"/>
  <c r="Q185" i="2"/>
  <c r="Q165" i="2"/>
  <c r="Q175" i="2"/>
  <c r="C47" i="2"/>
  <c r="C3" i="2"/>
  <c r="C13" i="2"/>
  <c r="C83" i="2"/>
  <c r="C71" i="2"/>
  <c r="C66" i="2"/>
  <c r="C89" i="2"/>
  <c r="C82" i="2"/>
  <c r="C108" i="2"/>
  <c r="C121" i="2"/>
  <c r="C158" i="2"/>
  <c r="C167" i="2"/>
  <c r="C159" i="2"/>
  <c r="W53" i="2"/>
  <c r="Q50" i="2"/>
  <c r="AI7" i="2"/>
  <c r="AI92" i="2"/>
  <c r="AI66" i="2"/>
  <c r="AI56" i="2"/>
  <c r="AI110" i="2"/>
  <c r="AI137" i="2"/>
  <c r="AI119" i="2"/>
  <c r="AI143" i="2"/>
  <c r="AI159" i="2"/>
  <c r="AI188" i="2"/>
  <c r="AI9" i="2"/>
  <c r="AI8" i="2"/>
  <c r="K176" i="2"/>
  <c r="Z156" i="2"/>
  <c r="AI70" i="2"/>
  <c r="AI5" i="2"/>
  <c r="AI13" i="2"/>
  <c r="AI99" i="2"/>
  <c r="AI89" i="2"/>
  <c r="AI62" i="2"/>
  <c r="AI101" i="2"/>
  <c r="AI139" i="2"/>
  <c r="AI120" i="2"/>
  <c r="AI145" i="2"/>
  <c r="AI161" i="2"/>
  <c r="AI171" i="2"/>
  <c r="K32" i="2"/>
  <c r="N45" i="2"/>
  <c r="Q65" i="2"/>
  <c r="Q113" i="2"/>
  <c r="Q108" i="2"/>
  <c r="Q112" i="2"/>
  <c r="Q155" i="2"/>
  <c r="Q160" i="2"/>
  <c r="Q176" i="2"/>
  <c r="C46" i="2"/>
  <c r="C39" i="2"/>
  <c r="C5" i="2"/>
  <c r="C6" i="2"/>
  <c r="C79" i="2"/>
  <c r="C92" i="2"/>
  <c r="C91" i="2"/>
  <c r="C141" i="2"/>
  <c r="C133" i="2"/>
  <c r="C129" i="2"/>
  <c r="C155" i="2"/>
  <c r="C139" i="2"/>
  <c r="C171" i="2"/>
  <c r="AI52" i="2"/>
  <c r="AI29" i="2"/>
  <c r="AI6" i="2"/>
  <c r="AI25" i="2"/>
  <c r="AI36" i="2"/>
  <c r="AI133" i="2"/>
  <c r="AI68" i="2"/>
  <c r="AI116" i="2"/>
  <c r="AI155" i="2"/>
  <c r="AI121" i="2"/>
  <c r="AI142" i="2"/>
  <c r="AI184" i="2"/>
  <c r="AI177" i="2"/>
  <c r="AI24" i="2"/>
  <c r="AI28" i="2"/>
  <c r="AI23" i="2"/>
  <c r="AI124" i="2"/>
  <c r="AI12" i="2"/>
  <c r="AI49" i="2"/>
  <c r="AI37" i="2"/>
  <c r="AI59" i="2"/>
  <c r="AI74" i="2"/>
  <c r="AI96" i="2"/>
  <c r="AI77" i="2"/>
  <c r="AI127" i="2"/>
  <c r="AI154" i="2"/>
  <c r="AI134" i="2"/>
  <c r="AI183" i="2"/>
  <c r="AI20" i="2"/>
  <c r="AI111" i="2"/>
  <c r="AI3" i="2"/>
  <c r="AI138" i="2"/>
  <c r="AI18" i="2"/>
  <c r="AI122" i="2"/>
  <c r="AH43" i="2"/>
  <c r="M8" i="4" s="1"/>
  <c r="AI71" i="2"/>
  <c r="AI126" i="2"/>
  <c r="AI83" i="2"/>
  <c r="AI128" i="2"/>
  <c r="AI182" i="2"/>
  <c r="AI189" i="2"/>
  <c r="AI22" i="2"/>
  <c r="Z19" i="2"/>
  <c r="K24" i="2"/>
  <c r="AI16" i="2"/>
  <c r="AI118" i="2"/>
  <c r="AI140" i="2"/>
  <c r="AI80" i="2"/>
  <c r="K106" i="2"/>
  <c r="Z118" i="2"/>
  <c r="AI30" i="2"/>
  <c r="AI136" i="2"/>
  <c r="AI15" i="2"/>
  <c r="AI95" i="2"/>
  <c r="AI78" i="2"/>
  <c r="AI108" i="2"/>
  <c r="AI98" i="2"/>
  <c r="AI130" i="2"/>
  <c r="AI148" i="2"/>
  <c r="AI146" i="2"/>
  <c r="AI174" i="2"/>
  <c r="N106" i="2"/>
  <c r="AI75" i="2"/>
  <c r="Q152" i="2"/>
  <c r="Q177" i="2"/>
  <c r="C64" i="2"/>
  <c r="C7" i="2"/>
  <c r="C27" i="2"/>
  <c r="C29" i="2"/>
  <c r="C68" i="2"/>
  <c r="C96" i="2"/>
  <c r="C49" i="2"/>
  <c r="C128" i="2"/>
  <c r="C146" i="2"/>
  <c r="C113" i="2"/>
  <c r="C117" i="2"/>
  <c r="C161" i="2"/>
  <c r="C176" i="2"/>
  <c r="C178" i="2"/>
  <c r="AI31" i="2"/>
  <c r="AI76" i="2"/>
  <c r="AI39" i="2"/>
  <c r="AI42" i="2"/>
  <c r="AI48" i="2"/>
  <c r="AI21" i="2"/>
  <c r="AI67" i="2"/>
  <c r="AI79" i="2"/>
  <c r="AI135" i="2"/>
  <c r="AI131" i="2"/>
  <c r="AI173" i="2"/>
  <c r="AI153" i="2"/>
  <c r="AI152" i="2"/>
  <c r="AI180" i="2"/>
  <c r="Z39" i="2"/>
  <c r="C21" i="2"/>
  <c r="C20" i="2"/>
  <c r="C59" i="2"/>
  <c r="C56" i="2"/>
  <c r="C104" i="2"/>
  <c r="C55" i="2"/>
  <c r="C74" i="2"/>
  <c r="C182" i="2"/>
  <c r="C114" i="2"/>
  <c r="C123" i="2"/>
  <c r="C152" i="2"/>
  <c r="C185" i="2"/>
  <c r="AI176" i="2"/>
  <c r="K156" i="2"/>
  <c r="K39" i="2"/>
  <c r="AI4" i="2"/>
  <c r="AI55" i="2"/>
  <c r="AI26" i="2"/>
  <c r="AI27" i="2"/>
  <c r="AI73" i="2"/>
  <c r="AI82" i="2"/>
  <c r="AI151" i="2"/>
  <c r="AI94" i="2"/>
  <c r="AI178" i="2"/>
  <c r="AI117" i="2"/>
  <c r="AI158" i="2"/>
  <c r="AI175" i="2"/>
  <c r="AI51" i="2"/>
  <c r="K65" i="2"/>
  <c r="AI60" i="2"/>
  <c r="AI17" i="2"/>
  <c r="AI53" i="2"/>
  <c r="W153" i="2"/>
  <c r="W181" i="2"/>
  <c r="W38" i="2"/>
  <c r="W173" i="2"/>
  <c r="W108" i="2"/>
  <c r="W180" i="2"/>
  <c r="W64" i="2"/>
  <c r="W46" i="2"/>
  <c r="W7" i="2"/>
  <c r="W37" i="2"/>
  <c r="W11" i="2"/>
  <c r="W84" i="2"/>
  <c r="W71" i="2"/>
  <c r="W88" i="2"/>
  <c r="W189" i="2"/>
  <c r="W135" i="2"/>
  <c r="W116" i="2"/>
  <c r="W117" i="2"/>
  <c r="W121" i="2"/>
  <c r="W182" i="2"/>
  <c r="W62" i="2"/>
  <c r="W72" i="2"/>
  <c r="W77" i="2"/>
  <c r="W179" i="2"/>
  <c r="W13" i="2"/>
  <c r="W185" i="2"/>
  <c r="W4" i="2"/>
  <c r="W17" i="2"/>
  <c r="W139" i="2"/>
  <c r="W92" i="2"/>
  <c r="W90" i="2"/>
  <c r="W103" i="2"/>
  <c r="W157" i="2"/>
  <c r="W119" i="2"/>
  <c r="W123" i="2"/>
  <c r="W127" i="2"/>
  <c r="W188" i="2"/>
  <c r="W141" i="2"/>
  <c r="W178" i="2"/>
  <c r="W18" i="2"/>
  <c r="W96" i="2"/>
  <c r="W136" i="2"/>
  <c r="W176" i="2"/>
  <c r="W147" i="2"/>
  <c r="W177" i="2"/>
  <c r="W78" i="2"/>
  <c r="W93" i="2"/>
  <c r="W82" i="2"/>
  <c r="W155" i="2"/>
  <c r="W159" i="2"/>
  <c r="W14" i="2"/>
  <c r="W91" i="2"/>
  <c r="W154" i="2"/>
  <c r="W95" i="2"/>
  <c r="W161" i="2"/>
  <c r="W138" i="2"/>
  <c r="W55" i="2"/>
  <c r="W113" i="2"/>
  <c r="W183" i="2"/>
  <c r="W61" i="2"/>
  <c r="W69" i="2"/>
  <c r="W75" i="2"/>
  <c r="W81" i="2"/>
  <c r="W107" i="2"/>
  <c r="T32" i="2"/>
  <c r="T186" i="2"/>
  <c r="W169" i="2"/>
  <c r="W8" i="2"/>
  <c r="T28" i="2"/>
  <c r="Z31" i="2"/>
  <c r="Z65" i="2"/>
  <c r="W83" i="2"/>
  <c r="W35" i="2"/>
  <c r="W10" i="2"/>
  <c r="W23" i="2"/>
  <c r="W25" i="2"/>
  <c r="W99" i="2"/>
  <c r="W142" i="2"/>
  <c r="W111" i="2"/>
  <c r="W98" i="2"/>
  <c r="W120" i="2"/>
  <c r="W124" i="2"/>
  <c r="W158" i="2"/>
  <c r="W175" i="2"/>
  <c r="W66" i="2"/>
  <c r="W140" i="2"/>
  <c r="W57" i="2"/>
  <c r="W65" i="2"/>
  <c r="W26" i="2"/>
  <c r="W109" i="2"/>
  <c r="W101" i="2"/>
  <c r="W100" i="2"/>
  <c r="W33" i="2"/>
  <c r="W156" i="2"/>
  <c r="T45" i="2"/>
  <c r="T24" i="2"/>
  <c r="Z181" i="2"/>
  <c r="T144" i="2"/>
  <c r="W106" i="2"/>
  <c r="T75" i="2"/>
  <c r="T39" i="2"/>
  <c r="W80" i="2"/>
  <c r="Z14" i="2"/>
  <c r="N19" i="2"/>
  <c r="AC80" i="2"/>
  <c r="R3" i="2"/>
  <c r="W12" i="2"/>
  <c r="W21" i="2"/>
  <c r="W16" i="2"/>
  <c r="W29" i="2"/>
  <c r="W40" i="2"/>
  <c r="W112" i="2"/>
  <c r="W133" i="2"/>
  <c r="W102" i="2"/>
  <c r="W104" i="2"/>
  <c r="W122" i="2"/>
  <c r="W125" i="2"/>
  <c r="W167" i="2"/>
  <c r="W187" i="2"/>
  <c r="W39" i="2"/>
  <c r="W184" i="2"/>
  <c r="W58" i="2"/>
  <c r="W132" i="2"/>
  <c r="T65" i="2"/>
  <c r="W30" i="2"/>
  <c r="W63" i="2"/>
  <c r="W5" i="2"/>
  <c r="W115" i="2"/>
  <c r="W27" i="2"/>
  <c r="W3" i="2"/>
  <c r="W22" i="2"/>
  <c r="W51" i="2"/>
  <c r="W41" i="2"/>
  <c r="W36" i="2"/>
  <c r="W118" i="2"/>
  <c r="W165" i="2"/>
  <c r="W110" i="2"/>
  <c r="W129" i="2"/>
  <c r="W126" i="2"/>
  <c r="W148" i="2"/>
  <c r="W160" i="2"/>
  <c r="W70" i="2"/>
  <c r="W32" i="2"/>
  <c r="W28" i="2"/>
  <c r="W76" i="2"/>
  <c r="W145" i="2"/>
  <c r="W67" i="2"/>
  <c r="W89" i="2"/>
  <c r="W19" i="2"/>
  <c r="W47" i="2"/>
  <c r="W94" i="2"/>
  <c r="W174" i="2"/>
  <c r="T156" i="2"/>
  <c r="T50" i="2"/>
  <c r="W79" i="2"/>
  <c r="W170" i="2"/>
  <c r="W171" i="2"/>
  <c r="W15" i="2"/>
  <c r="W56" i="2"/>
  <c r="W146" i="2"/>
  <c r="W114" i="2"/>
  <c r="W50" i="2"/>
  <c r="W151" i="2"/>
  <c r="W24" i="2"/>
  <c r="Z50" i="2"/>
  <c r="W9" i="2"/>
  <c r="W186" i="2"/>
  <c r="H151" i="2"/>
  <c r="H156" i="2"/>
  <c r="W144" i="2"/>
  <c r="AC100" i="2"/>
  <c r="H75" i="2"/>
  <c r="W87" i="2"/>
  <c r="N28" i="2"/>
  <c r="K19" i="2"/>
  <c r="AK3" i="2"/>
  <c r="AL160" i="2" s="1"/>
  <c r="W34" i="2"/>
  <c r="W6" i="2"/>
  <c r="W59" i="2"/>
  <c r="W52" i="2"/>
  <c r="W45" i="2"/>
  <c r="W42" i="2"/>
  <c r="W68" i="2"/>
  <c r="W97" i="2"/>
  <c r="W134" i="2"/>
  <c r="W130" i="2"/>
  <c r="W137" i="2"/>
  <c r="W152" i="2"/>
  <c r="N133" i="1"/>
  <c r="AL161" i="2"/>
  <c r="AL182" i="2"/>
  <c r="AL185" i="2"/>
  <c r="AL146" i="2"/>
  <c r="AL116" i="2"/>
  <c r="AL81" i="2"/>
  <c r="AL134" i="2"/>
  <c r="AL108" i="2"/>
  <c r="AL102" i="2"/>
  <c r="AL55" i="2"/>
  <c r="AL122" i="2"/>
  <c r="AL123" i="2"/>
  <c r="AL110" i="2"/>
  <c r="AL58" i="2"/>
  <c r="AL47" i="2"/>
  <c r="AL46" i="2"/>
  <c r="AL22" i="2"/>
  <c r="AL3" i="2"/>
  <c r="AL20" i="2"/>
  <c r="AL99" i="2"/>
  <c r="AL26" i="2"/>
  <c r="AL19" i="2"/>
  <c r="AL23" i="2"/>
  <c r="AL101" i="2"/>
  <c r="AL83" i="2"/>
  <c r="AL142" i="2"/>
  <c r="AL183" i="2"/>
  <c r="AL177" i="2"/>
  <c r="AL165" i="2"/>
  <c r="AL33" i="2"/>
  <c r="AL88" i="2"/>
  <c r="AL36" i="2"/>
  <c r="AL95" i="2"/>
  <c r="AL92" i="2"/>
  <c r="AL152" i="2"/>
  <c r="AL159" i="2"/>
  <c r="AL130" i="2"/>
  <c r="AL51" i="2"/>
  <c r="AL52" i="2"/>
  <c r="AL84" i="2"/>
  <c r="AL75" i="2"/>
  <c r="AL78" i="2"/>
  <c r="AL48" i="2"/>
  <c r="AL129" i="2"/>
  <c r="AL124" i="2"/>
  <c r="AL187" i="2"/>
  <c r="AL178" i="2"/>
  <c r="AL184" i="2"/>
  <c r="AL143" i="2"/>
  <c r="AL17" i="2"/>
  <c r="AL175" i="2"/>
  <c r="AL98" i="2"/>
  <c r="AL91" i="2"/>
  <c r="AL14" i="2"/>
  <c r="AL132" i="2"/>
  <c r="AJ164" i="2"/>
  <c r="AI164" i="2"/>
  <c r="AH163" i="2"/>
  <c r="AH168" i="2" s="1"/>
  <c r="S162" i="2"/>
  <c r="U105" i="2"/>
  <c r="T105" i="2"/>
  <c r="L86" i="2"/>
  <c r="K86" i="2"/>
  <c r="T64" i="2"/>
  <c r="S60" i="2"/>
  <c r="X60" i="2" s="1"/>
  <c r="U64" i="2"/>
  <c r="AL100" i="2"/>
  <c r="O86" i="2"/>
  <c r="N86" i="2"/>
  <c r="AD31" i="2"/>
  <c r="AC31" i="2"/>
  <c r="AL24" i="2"/>
  <c r="AJ86" i="2"/>
  <c r="AI86" i="2"/>
  <c r="B7" i="4"/>
  <c r="C43" i="2"/>
  <c r="N12" i="4"/>
  <c r="AI169" i="2"/>
  <c r="AJ169" i="2"/>
  <c r="AL156" i="2"/>
  <c r="AC162" i="2"/>
  <c r="E70" i="2"/>
  <c r="H14" i="2"/>
  <c r="H64" i="2"/>
  <c r="I64" i="2"/>
  <c r="G60" i="2"/>
  <c r="J162" i="2"/>
  <c r="L105" i="2"/>
  <c r="K105" i="2"/>
  <c r="E24" i="2"/>
  <c r="R31" i="2"/>
  <c r="Q31" i="2"/>
  <c r="AF31" i="2"/>
  <c r="AG31" i="2"/>
  <c r="N14" i="2"/>
  <c r="I7" i="4"/>
  <c r="W43" i="2"/>
  <c r="K64" i="2"/>
  <c r="L64" i="2"/>
  <c r="J60" i="2"/>
  <c r="D163" i="2"/>
  <c r="D168" i="2" s="1"/>
  <c r="E164" i="2"/>
  <c r="O64" i="2"/>
  <c r="M60" i="2"/>
  <c r="N64" i="2"/>
  <c r="AK166" i="2"/>
  <c r="AL166" i="2" s="1"/>
  <c r="AL39" i="2"/>
  <c r="E19" i="2"/>
  <c r="H32" i="2"/>
  <c r="P43" i="2"/>
  <c r="X3" i="2"/>
  <c r="G162" i="2"/>
  <c r="I105" i="2"/>
  <c r="H105" i="2"/>
  <c r="AA166" i="2"/>
  <c r="Z166" i="2"/>
  <c r="AG86" i="2"/>
  <c r="AF86" i="2"/>
  <c r="G163" i="2"/>
  <c r="I164" i="2"/>
  <c r="H164" i="2"/>
  <c r="B164" i="2"/>
  <c r="F164" i="2" s="1"/>
  <c r="AK151" i="2"/>
  <c r="C151" i="2"/>
  <c r="AM151" i="2"/>
  <c r="B150" i="2"/>
  <c r="F150" i="2" s="1"/>
  <c r="AC150" i="2"/>
  <c r="AL45" i="2"/>
  <c r="E105" i="2"/>
  <c r="E4" i="2"/>
  <c r="AL176" i="2"/>
  <c r="R169" i="2"/>
  <c r="Q169" i="2"/>
  <c r="H166" i="2"/>
  <c r="I166" i="2"/>
  <c r="Y162" i="2"/>
  <c r="Z105" i="2"/>
  <c r="AA105" i="2"/>
  <c r="AD164" i="2"/>
  <c r="AB163" i="2"/>
  <c r="AC164" i="2"/>
  <c r="AL106" i="2"/>
  <c r="H45" i="2"/>
  <c r="AF64" i="2"/>
  <c r="AE60" i="2"/>
  <c r="AJ64" i="2"/>
  <c r="AG64" i="2"/>
  <c r="H50" i="2"/>
  <c r="Z186" i="2"/>
  <c r="Z184" i="2"/>
  <c r="Z178" i="2"/>
  <c r="Z172" i="2"/>
  <c r="Z189" i="2"/>
  <c r="Z183" i="2"/>
  <c r="Z177" i="2"/>
  <c r="Z171" i="2"/>
  <c r="Z165" i="2"/>
  <c r="Z159" i="2"/>
  <c r="Z180" i="2"/>
  <c r="Z174" i="2"/>
  <c r="Z185" i="2"/>
  <c r="Z173" i="2"/>
  <c r="Z170" i="2"/>
  <c r="Z155" i="2"/>
  <c r="Z143" i="2"/>
  <c r="Z137" i="2"/>
  <c r="Z131" i="2"/>
  <c r="Z187" i="2"/>
  <c r="Z158" i="2"/>
  <c r="Z126" i="2"/>
  <c r="Z120" i="2"/>
  <c r="Z114" i="2"/>
  <c r="Z136" i="2"/>
  <c r="Z135" i="2"/>
  <c r="Z134" i="2"/>
  <c r="Z182" i="2"/>
  <c r="Z153" i="2"/>
  <c r="Z152" i="2"/>
  <c r="Z148" i="2"/>
  <c r="Z157" i="2"/>
  <c r="Z175" i="2"/>
  <c r="Z176" i="2"/>
  <c r="Z130" i="2"/>
  <c r="Z129" i="2"/>
  <c r="Z161" i="2"/>
  <c r="Z138" i="2"/>
  <c r="Z128" i="2"/>
  <c r="Z127" i="2"/>
  <c r="Z121" i="2"/>
  <c r="Z115" i="2"/>
  <c r="Z112" i="2"/>
  <c r="Z94" i="2"/>
  <c r="Z88" i="2"/>
  <c r="Z142" i="2"/>
  <c r="Z139" i="2"/>
  <c r="Z109" i="2"/>
  <c r="Z103" i="2"/>
  <c r="Z97" i="2"/>
  <c r="Z145" i="2"/>
  <c r="Z133" i="2"/>
  <c r="Z124" i="2"/>
  <c r="Z95" i="2"/>
  <c r="Z179" i="2"/>
  <c r="Z167" i="2"/>
  <c r="Z160" i="2"/>
  <c r="Z125" i="2"/>
  <c r="Z111" i="2"/>
  <c r="Z98" i="2"/>
  <c r="Z146" i="2"/>
  <c r="Z122" i="2"/>
  <c r="Z73" i="2"/>
  <c r="Z67" i="2"/>
  <c r="Z90" i="2"/>
  <c r="Z91" i="2"/>
  <c r="Z89" i="2"/>
  <c r="Z86" i="2"/>
  <c r="Z119" i="2"/>
  <c r="Z87" i="2"/>
  <c r="Z141" i="2"/>
  <c r="Z107" i="2"/>
  <c r="Z99" i="2"/>
  <c r="Z92" i="2"/>
  <c r="Z71" i="2"/>
  <c r="Z59" i="2"/>
  <c r="Z53" i="2"/>
  <c r="Z47" i="2"/>
  <c r="Y43" i="2"/>
  <c r="Z41" i="2"/>
  <c r="Z35" i="2"/>
  <c r="Z132" i="2"/>
  <c r="Z96" i="2"/>
  <c r="Z140" i="2"/>
  <c r="Z123" i="2"/>
  <c r="Z116" i="2"/>
  <c r="Z101" i="2"/>
  <c r="Z154" i="2"/>
  <c r="Z108" i="2"/>
  <c r="Z102" i="2"/>
  <c r="Z82" i="2"/>
  <c r="Z76" i="2"/>
  <c r="Z74" i="2"/>
  <c r="Z68" i="2"/>
  <c r="Z62" i="2"/>
  <c r="Z84" i="2"/>
  <c r="Z56" i="2"/>
  <c r="Z55" i="2"/>
  <c r="Z42" i="2"/>
  <c r="Z30" i="2"/>
  <c r="Z18" i="2"/>
  <c r="Z93" i="2"/>
  <c r="Z57" i="2"/>
  <c r="Z52" i="2"/>
  <c r="Z51" i="2"/>
  <c r="Z29" i="2"/>
  <c r="Z79" i="2"/>
  <c r="Z77" i="2"/>
  <c r="Z58" i="2"/>
  <c r="Z24" i="2"/>
  <c r="Z66" i="2"/>
  <c r="Z63" i="2"/>
  <c r="Z22" i="2"/>
  <c r="Z16" i="2"/>
  <c r="Z10" i="2"/>
  <c r="Z106" i="2"/>
  <c r="Z34" i="2"/>
  <c r="Z33" i="2"/>
  <c r="Z83" i="2"/>
  <c r="Z81" i="2"/>
  <c r="Z38" i="2"/>
  <c r="Z27" i="2"/>
  <c r="Z21" i="2"/>
  <c r="Z15" i="2"/>
  <c r="Z40" i="2"/>
  <c r="Z36" i="2"/>
  <c r="Z32" i="2"/>
  <c r="Z28" i="2"/>
  <c r="Z5" i="2"/>
  <c r="AA3" i="2"/>
  <c r="Z37" i="2"/>
  <c r="Z11" i="2"/>
  <c r="Z188" i="2"/>
  <c r="Z3" i="2"/>
  <c r="Z147" i="2"/>
  <c r="Z104" i="2"/>
  <c r="Z45" i="2"/>
  <c r="Z20" i="2"/>
  <c r="Z6" i="2"/>
  <c r="Z117" i="2"/>
  <c r="Z49" i="2"/>
  <c r="Z23" i="2"/>
  <c r="Z9" i="2"/>
  <c r="Z26" i="2"/>
  <c r="Z17" i="2"/>
  <c r="Z7" i="2"/>
  <c r="Z69" i="2"/>
  <c r="Z48" i="2"/>
  <c r="Z4" i="2"/>
  <c r="Z110" i="2"/>
  <c r="Z8" i="2"/>
  <c r="Z46" i="2"/>
  <c r="Z72" i="2"/>
  <c r="Z70" i="2"/>
  <c r="Z113" i="2"/>
  <c r="Z61" i="2"/>
  <c r="Z25" i="2"/>
  <c r="Z13" i="2"/>
  <c r="Z78" i="2"/>
  <c r="Z12" i="2"/>
  <c r="AK31" i="2"/>
  <c r="C31" i="2"/>
  <c r="AM31" i="2"/>
  <c r="F31" i="2"/>
  <c r="AC189" i="2"/>
  <c r="AC183" i="2"/>
  <c r="AC177" i="2"/>
  <c r="AC171" i="2"/>
  <c r="AC188" i="2"/>
  <c r="AC182" i="2"/>
  <c r="AC158" i="2"/>
  <c r="AC186" i="2"/>
  <c r="AC185" i="2"/>
  <c r="AC179" i="2"/>
  <c r="AC173" i="2"/>
  <c r="AC167" i="2"/>
  <c r="AC178" i="2"/>
  <c r="AC181" i="2"/>
  <c r="AC187" i="2"/>
  <c r="AC176" i="2"/>
  <c r="AC154" i="2"/>
  <c r="AC148" i="2"/>
  <c r="AC142" i="2"/>
  <c r="AC136" i="2"/>
  <c r="AC174" i="2"/>
  <c r="AC180" i="2"/>
  <c r="AC175" i="2"/>
  <c r="AC161" i="2"/>
  <c r="AC159" i="2"/>
  <c r="AC160" i="2"/>
  <c r="AC184" i="2"/>
  <c r="AC165" i="2"/>
  <c r="AC141" i="2"/>
  <c r="AC140" i="2"/>
  <c r="AC139" i="2"/>
  <c r="AC138" i="2"/>
  <c r="AC137" i="2"/>
  <c r="AC133" i="2"/>
  <c r="AC125" i="2"/>
  <c r="AC119" i="2"/>
  <c r="AC113" i="2"/>
  <c r="AC143" i="2"/>
  <c r="AC132" i="2"/>
  <c r="AC131" i="2"/>
  <c r="AC169" i="2"/>
  <c r="AC172" i="2"/>
  <c r="AC155" i="2"/>
  <c r="AC144" i="2"/>
  <c r="AC153" i="2"/>
  <c r="AC111" i="2"/>
  <c r="AC99" i="2"/>
  <c r="AC93" i="2"/>
  <c r="AC170" i="2"/>
  <c r="AC156" i="2"/>
  <c r="AC145" i="2"/>
  <c r="AC157" i="2"/>
  <c r="AC108" i="2"/>
  <c r="AC102" i="2"/>
  <c r="AC96" i="2"/>
  <c r="AC114" i="2"/>
  <c r="AC79" i="2"/>
  <c r="AC146" i="2"/>
  <c r="AC134" i="2"/>
  <c r="AC118" i="2"/>
  <c r="AC112" i="2"/>
  <c r="AC152" i="2"/>
  <c r="AC104" i="2"/>
  <c r="AC129" i="2"/>
  <c r="AC126" i="2"/>
  <c r="AC122" i="2"/>
  <c r="AC91" i="2"/>
  <c r="AC89" i="2"/>
  <c r="AC88" i="2"/>
  <c r="AC72" i="2"/>
  <c r="AC66" i="2"/>
  <c r="AC109" i="2"/>
  <c r="AC95" i="2"/>
  <c r="AC128" i="2"/>
  <c r="AC121" i="2"/>
  <c r="AC107" i="2"/>
  <c r="AC103" i="2"/>
  <c r="AC92" i="2"/>
  <c r="AC135" i="2"/>
  <c r="AC130" i="2"/>
  <c r="AC123" i="2"/>
  <c r="AC116" i="2"/>
  <c r="AC101" i="2"/>
  <c r="AC65" i="2"/>
  <c r="AC58" i="2"/>
  <c r="AC52" i="2"/>
  <c r="AC46" i="2"/>
  <c r="AC40" i="2"/>
  <c r="AC34" i="2"/>
  <c r="AC110" i="2"/>
  <c r="AC147" i="2"/>
  <c r="AC69" i="2"/>
  <c r="AC63" i="2"/>
  <c r="AC115" i="2"/>
  <c r="AC73" i="2"/>
  <c r="AC67" i="2"/>
  <c r="AC61" i="2"/>
  <c r="AC120" i="2"/>
  <c r="AC57" i="2"/>
  <c r="AC51" i="2"/>
  <c r="AC29" i="2"/>
  <c r="AC23" i="2"/>
  <c r="AC17" i="2"/>
  <c r="AC124" i="2"/>
  <c r="AC77" i="2"/>
  <c r="AC53" i="2"/>
  <c r="AC71" i="2"/>
  <c r="AC59" i="2"/>
  <c r="AC33" i="2"/>
  <c r="AC83" i="2"/>
  <c r="AC81" i="2"/>
  <c r="AC68" i="2"/>
  <c r="AC38" i="2"/>
  <c r="AC35" i="2"/>
  <c r="AC27" i="2"/>
  <c r="AC21" i="2"/>
  <c r="AC15" i="2"/>
  <c r="AC37" i="2"/>
  <c r="AC36" i="2"/>
  <c r="AD3" i="2"/>
  <c r="AC127" i="2"/>
  <c r="AC47" i="2"/>
  <c r="AC26" i="2"/>
  <c r="AC20" i="2"/>
  <c r="AC8" i="2"/>
  <c r="AC3" i="2"/>
  <c r="AC74" i="2"/>
  <c r="AC42" i="2"/>
  <c r="AC6" i="2"/>
  <c r="AC117" i="2"/>
  <c r="AC90" i="2"/>
  <c r="AC76" i="2"/>
  <c r="AC49" i="2"/>
  <c r="AC39" i="2"/>
  <c r="AC30" i="2"/>
  <c r="AC84" i="2"/>
  <c r="AC56" i="2"/>
  <c r="AC7" i="2"/>
  <c r="AC14" i="2"/>
  <c r="AC10" i="2"/>
  <c r="AC94" i="2"/>
  <c r="AB43" i="2"/>
  <c r="AC22" i="2"/>
  <c r="AC13" i="2"/>
  <c r="AC11" i="2"/>
  <c r="AC41" i="2"/>
  <c r="AC48" i="2"/>
  <c r="AC18" i="2"/>
  <c r="AC12" i="2"/>
  <c r="AC82" i="2"/>
  <c r="AC55" i="2"/>
  <c r="AC98" i="2"/>
  <c r="AC78" i="2"/>
  <c r="AC62" i="2"/>
  <c r="AC16" i="2"/>
  <c r="AC5" i="2"/>
  <c r="AC97" i="2"/>
  <c r="AC25" i="2"/>
  <c r="E80" i="2"/>
  <c r="Y60" i="2"/>
  <c r="AA64" i="2"/>
  <c r="Z64" i="2"/>
  <c r="P54" i="2"/>
  <c r="Q60" i="2"/>
  <c r="T166" i="2"/>
  <c r="U166" i="2"/>
  <c r="Z151" i="2"/>
  <c r="AA151" i="2"/>
  <c r="Y150" i="2"/>
  <c r="Y164" i="2"/>
  <c r="E50" i="2"/>
  <c r="AM3" i="2"/>
  <c r="AG169" i="2"/>
  <c r="AF169" i="2"/>
  <c r="V163" i="2"/>
  <c r="W164" i="2"/>
  <c r="P162" i="2"/>
  <c r="R105" i="2"/>
  <c r="Q105" i="2"/>
  <c r="V54" i="2"/>
  <c r="W60" i="2"/>
  <c r="T180" i="2"/>
  <c r="T174" i="2"/>
  <c r="T185" i="2"/>
  <c r="T179" i="2"/>
  <c r="T173" i="2"/>
  <c r="T167" i="2"/>
  <c r="T161" i="2"/>
  <c r="T188" i="2"/>
  <c r="T182" i="2"/>
  <c r="T184" i="2"/>
  <c r="T175" i="2"/>
  <c r="T172" i="2"/>
  <c r="T159" i="2"/>
  <c r="T160" i="2"/>
  <c r="T145" i="2"/>
  <c r="T139" i="2"/>
  <c r="T133" i="2"/>
  <c r="T178" i="2"/>
  <c r="T171" i="2"/>
  <c r="T170" i="2"/>
  <c r="T187" i="2"/>
  <c r="T155" i="2"/>
  <c r="T128" i="2"/>
  <c r="T122" i="2"/>
  <c r="T116" i="2"/>
  <c r="T177" i="2"/>
  <c r="T158" i="2"/>
  <c r="T143" i="2"/>
  <c r="T142" i="2"/>
  <c r="T141" i="2"/>
  <c r="T140" i="2"/>
  <c r="T183" i="2"/>
  <c r="T154" i="2"/>
  <c r="T152" i="2"/>
  <c r="T146" i="2"/>
  <c r="T157" i="2"/>
  <c r="T136" i="2"/>
  <c r="T108" i="2"/>
  <c r="T102" i="2"/>
  <c r="T96" i="2"/>
  <c r="T90" i="2"/>
  <c r="T147" i="2"/>
  <c r="T137" i="2"/>
  <c r="T165" i="2"/>
  <c r="T111" i="2"/>
  <c r="T99" i="2"/>
  <c r="T123" i="2"/>
  <c r="T113" i="2"/>
  <c r="T107" i="2"/>
  <c r="T93" i="2"/>
  <c r="T92" i="2"/>
  <c r="T91" i="2"/>
  <c r="T82" i="2"/>
  <c r="T76" i="2"/>
  <c r="T124" i="2"/>
  <c r="T138" i="2"/>
  <c r="T114" i="2"/>
  <c r="T109" i="2"/>
  <c r="T101" i="2"/>
  <c r="T153" i="2"/>
  <c r="T125" i="2"/>
  <c r="T121" i="2"/>
  <c r="T110" i="2"/>
  <c r="T129" i="2"/>
  <c r="T120" i="2"/>
  <c r="T69" i="2"/>
  <c r="T63" i="2"/>
  <c r="T127" i="2"/>
  <c r="T84" i="2"/>
  <c r="T83" i="2"/>
  <c r="T79" i="2"/>
  <c r="T78" i="2"/>
  <c r="T77" i="2"/>
  <c r="T131" i="2"/>
  <c r="T117" i="2"/>
  <c r="T115" i="2"/>
  <c r="T94" i="2"/>
  <c r="T81" i="2"/>
  <c r="T118" i="2"/>
  <c r="T106" i="2"/>
  <c r="T98" i="2"/>
  <c r="T70" i="2"/>
  <c r="T73" i="2"/>
  <c r="T67" i="2"/>
  <c r="T61" i="2"/>
  <c r="T55" i="2"/>
  <c r="T49" i="2"/>
  <c r="T37" i="2"/>
  <c r="T95" i="2"/>
  <c r="T89" i="2"/>
  <c r="T88" i="2"/>
  <c r="T176" i="2"/>
  <c r="T148" i="2"/>
  <c r="T126" i="2"/>
  <c r="T119" i="2"/>
  <c r="T103" i="2"/>
  <c r="T72" i="2"/>
  <c r="T66" i="2"/>
  <c r="T58" i="2"/>
  <c r="T130" i="2"/>
  <c r="T48" i="2"/>
  <c r="T26" i="2"/>
  <c r="T20" i="2"/>
  <c r="T135" i="2"/>
  <c r="T104" i="2"/>
  <c r="S43" i="2"/>
  <c r="T112" i="2"/>
  <c r="T62" i="2"/>
  <c r="T41" i="2"/>
  <c r="T40" i="2"/>
  <c r="T25" i="2"/>
  <c r="T134" i="2"/>
  <c r="T97" i="2"/>
  <c r="T87" i="2"/>
  <c r="T74" i="2"/>
  <c r="T42" i="2"/>
  <c r="T9" i="2"/>
  <c r="T3" i="2"/>
  <c r="T56" i="2"/>
  <c r="T30" i="2"/>
  <c r="T18" i="2"/>
  <c r="T12" i="2"/>
  <c r="T6" i="2"/>
  <c r="T57" i="2"/>
  <c r="T71" i="2"/>
  <c r="T53" i="2"/>
  <c r="T52" i="2"/>
  <c r="T51" i="2"/>
  <c r="T29" i="2"/>
  <c r="T23" i="2"/>
  <c r="T17" i="2"/>
  <c r="T11" i="2"/>
  <c r="T5" i="2"/>
  <c r="T19" i="2"/>
  <c r="T33" i="2"/>
  <c r="T7" i="2"/>
  <c r="T80" i="2"/>
  <c r="T68" i="2"/>
  <c r="T34" i="2"/>
  <c r="T27" i="2"/>
  <c r="T22" i="2"/>
  <c r="T16" i="2"/>
  <c r="T36" i="2"/>
  <c r="T13" i="2"/>
  <c r="T4" i="2"/>
  <c r="T132" i="2"/>
  <c r="T59" i="2"/>
  <c r="T47" i="2"/>
  <c r="T38" i="2"/>
  <c r="T21" i="2"/>
  <c r="U3" i="2"/>
  <c r="T35" i="2"/>
  <c r="T10" i="2"/>
  <c r="T15" i="2"/>
  <c r="T8" i="2"/>
  <c r="T86" i="2"/>
  <c r="T46" i="2"/>
  <c r="T31" i="2"/>
  <c r="T189" i="2"/>
  <c r="L7" i="4"/>
  <c r="AG43" i="2"/>
  <c r="AF43" i="2"/>
  <c r="AM64" i="2"/>
  <c r="U169" i="2"/>
  <c r="X169" i="2"/>
  <c r="T169" i="2"/>
  <c r="X166" i="2"/>
  <c r="W166" i="2"/>
  <c r="V162" i="2"/>
  <c r="X105" i="2"/>
  <c r="W105" i="2"/>
  <c r="H39" i="2"/>
  <c r="H80" i="2"/>
  <c r="L31" i="2"/>
  <c r="K31" i="2"/>
  <c r="M162" i="2"/>
  <c r="N105" i="2"/>
  <c r="O105" i="2"/>
  <c r="E9" i="2"/>
  <c r="E64" i="2"/>
  <c r="AK64" i="2"/>
  <c r="AL64" i="2" s="1"/>
  <c r="AB60" i="2"/>
  <c r="AD64" i="2"/>
  <c r="AC64" i="2"/>
  <c r="O31" i="2"/>
  <c r="N31" i="2"/>
  <c r="C60" i="2"/>
  <c r="B54" i="2"/>
  <c r="O12" i="4"/>
  <c r="AL186" i="2"/>
  <c r="W150" i="2"/>
  <c r="AM105" i="2"/>
  <c r="J164" i="2"/>
  <c r="J150" i="2"/>
  <c r="K151" i="2"/>
  <c r="L151" i="2"/>
  <c r="D54" i="2"/>
  <c r="F60" i="2"/>
  <c r="E60" i="2"/>
  <c r="I150" i="2"/>
  <c r="E150" i="2"/>
  <c r="N151" i="2"/>
  <c r="M150" i="2"/>
  <c r="M164" i="2"/>
  <c r="R164" i="2" s="1"/>
  <c r="O151" i="2"/>
  <c r="AC86" i="2"/>
  <c r="AD86" i="2"/>
  <c r="AL65" i="2"/>
  <c r="AM169" i="2"/>
  <c r="C169" i="2"/>
  <c r="AK169" i="2"/>
  <c r="AL169" i="2" s="1"/>
  <c r="Q150" i="2"/>
  <c r="O166" i="2"/>
  <c r="N166" i="2"/>
  <c r="R166" i="2"/>
  <c r="AM86" i="2"/>
  <c r="AK86" i="2"/>
  <c r="AL86" i="2" s="1"/>
  <c r="F86" i="2"/>
  <c r="C86" i="2"/>
  <c r="AA86" i="2"/>
  <c r="X86" i="2"/>
  <c r="W86" i="2"/>
  <c r="AK105" i="2"/>
  <c r="AL105" i="2" s="1"/>
  <c r="AI162" i="2"/>
  <c r="H184" i="2"/>
  <c r="H178" i="2"/>
  <c r="H172" i="2"/>
  <c r="H189" i="2"/>
  <c r="H183" i="2"/>
  <c r="H177" i="2"/>
  <c r="H171" i="2"/>
  <c r="H165" i="2"/>
  <c r="H159" i="2"/>
  <c r="H180" i="2"/>
  <c r="H174" i="2"/>
  <c r="H187" i="2"/>
  <c r="H179" i="2"/>
  <c r="H155" i="2"/>
  <c r="H143" i="2"/>
  <c r="H137" i="2"/>
  <c r="H158" i="2"/>
  <c r="H188" i="2"/>
  <c r="H175" i="2"/>
  <c r="H136" i="2"/>
  <c r="H135" i="2"/>
  <c r="H134" i="2"/>
  <c r="H126" i="2"/>
  <c r="H120" i="2"/>
  <c r="H114" i="2"/>
  <c r="H182" i="2"/>
  <c r="H142" i="2"/>
  <c r="H141" i="2"/>
  <c r="H140" i="2"/>
  <c r="H139" i="2"/>
  <c r="H138" i="2"/>
  <c r="H133" i="2"/>
  <c r="H176" i="2"/>
  <c r="H160" i="2"/>
  <c r="H157" i="2"/>
  <c r="H154" i="2"/>
  <c r="H147" i="2"/>
  <c r="H185" i="2"/>
  <c r="H128" i="2"/>
  <c r="H127" i="2"/>
  <c r="H173" i="2"/>
  <c r="H132" i="2"/>
  <c r="H112" i="2"/>
  <c r="H94" i="2"/>
  <c r="H88" i="2"/>
  <c r="H170" i="2"/>
  <c r="H145" i="2"/>
  <c r="H109" i="2"/>
  <c r="H103" i="2"/>
  <c r="H97" i="2"/>
  <c r="H125" i="2"/>
  <c r="H146" i="2"/>
  <c r="H144" i="2"/>
  <c r="H148" i="2"/>
  <c r="H129" i="2"/>
  <c r="H99" i="2"/>
  <c r="H122" i="2"/>
  <c r="H104" i="2"/>
  <c r="H161" i="2"/>
  <c r="H119" i="2"/>
  <c r="H116" i="2"/>
  <c r="H121" i="2"/>
  <c r="H107" i="2"/>
  <c r="H95" i="2"/>
  <c r="H91" i="2"/>
  <c r="H90" i="2"/>
  <c r="H73" i="2"/>
  <c r="H67" i="2"/>
  <c r="H123" i="2"/>
  <c r="H89" i="2"/>
  <c r="H130" i="2"/>
  <c r="H100" i="2"/>
  <c r="H92" i="2"/>
  <c r="H101" i="2"/>
  <c r="H96" i="2"/>
  <c r="H70" i="2"/>
  <c r="H110" i="2"/>
  <c r="H93" i="2"/>
  <c r="H71" i="2"/>
  <c r="H59" i="2"/>
  <c r="H53" i="2"/>
  <c r="H47" i="2"/>
  <c r="H41" i="2"/>
  <c r="H35" i="2"/>
  <c r="H108" i="2"/>
  <c r="H115" i="2"/>
  <c r="H98" i="2"/>
  <c r="H81" i="2"/>
  <c r="H74" i="2"/>
  <c r="H68" i="2"/>
  <c r="H62" i="2"/>
  <c r="H66" i="2"/>
  <c r="H63" i="2"/>
  <c r="H57" i="2"/>
  <c r="H30" i="2"/>
  <c r="H18" i="2"/>
  <c r="H58" i="2"/>
  <c r="H52" i="2"/>
  <c r="H51" i="2"/>
  <c r="H131" i="2"/>
  <c r="H106" i="2"/>
  <c r="H83" i="2"/>
  <c r="H29" i="2"/>
  <c r="H9" i="2"/>
  <c r="H3" i="2"/>
  <c r="H113" i="2"/>
  <c r="H76" i="2"/>
  <c r="H34" i="2"/>
  <c r="H33" i="2"/>
  <c r="H22" i="2"/>
  <c r="H16" i="2"/>
  <c r="H10" i="2"/>
  <c r="H78" i="2"/>
  <c r="H61" i="2"/>
  <c r="H38" i="2"/>
  <c r="H117" i="2"/>
  <c r="H72" i="2"/>
  <c r="H46" i="2"/>
  <c r="H37" i="2"/>
  <c r="H36" i="2"/>
  <c r="H27" i="2"/>
  <c r="H21" i="2"/>
  <c r="H15" i="2"/>
  <c r="H56" i="2"/>
  <c r="H26" i="2"/>
  <c r="H23" i="2"/>
  <c r="H6" i="2"/>
  <c r="H4" i="2"/>
  <c r="H102" i="2"/>
  <c r="H69" i="2"/>
  <c r="H24" i="2"/>
  <c r="H17" i="2"/>
  <c r="H25" i="2"/>
  <c r="H153" i="2"/>
  <c r="H31" i="2"/>
  <c r="H7" i="2"/>
  <c r="I3" i="2"/>
  <c r="H13" i="2"/>
  <c r="H152" i="2"/>
  <c r="H82" i="2"/>
  <c r="H48" i="2"/>
  <c r="G43" i="2"/>
  <c r="H8" i="2"/>
  <c r="H40" i="2"/>
  <c r="H87" i="2"/>
  <c r="H11" i="2"/>
  <c r="H124" i="2"/>
  <c r="H167" i="2"/>
  <c r="H77" i="2"/>
  <c r="H55" i="2"/>
  <c r="H84" i="2"/>
  <c r="H42" i="2"/>
  <c r="H5" i="2"/>
  <c r="H79" i="2"/>
  <c r="H65" i="2"/>
  <c r="H49" i="2"/>
  <c r="H20" i="2"/>
  <c r="H12" i="2"/>
  <c r="H111" i="2"/>
  <c r="E185" i="2"/>
  <c r="E179" i="2"/>
  <c r="E173" i="2"/>
  <c r="E184" i="2"/>
  <c r="E178" i="2"/>
  <c r="E172" i="2"/>
  <c r="E160" i="2"/>
  <c r="E187" i="2"/>
  <c r="E186" i="2"/>
  <c r="E175" i="2"/>
  <c r="E176" i="2"/>
  <c r="E183" i="2"/>
  <c r="E189" i="2"/>
  <c r="E171" i="2"/>
  <c r="E138" i="2"/>
  <c r="E132" i="2"/>
  <c r="E174" i="2"/>
  <c r="E182" i="2"/>
  <c r="E180" i="2"/>
  <c r="E157" i="2"/>
  <c r="E177" i="2"/>
  <c r="E170" i="2"/>
  <c r="E156" i="2"/>
  <c r="E154" i="2"/>
  <c r="E165" i="2"/>
  <c r="E127" i="2"/>
  <c r="E121" i="2"/>
  <c r="E115" i="2"/>
  <c r="E188" i="2"/>
  <c r="E159" i="2"/>
  <c r="E147" i="2"/>
  <c r="E146" i="2"/>
  <c r="E145" i="2"/>
  <c r="E141" i="2"/>
  <c r="E161" i="2"/>
  <c r="E158" i="2"/>
  <c r="E126" i="2"/>
  <c r="E153" i="2"/>
  <c r="E148" i="2"/>
  <c r="E142" i="2"/>
  <c r="E131" i="2"/>
  <c r="E130" i="2"/>
  <c r="E129" i="2"/>
  <c r="E122" i="2"/>
  <c r="E120" i="2"/>
  <c r="E119" i="2"/>
  <c r="E116" i="2"/>
  <c r="E114" i="2"/>
  <c r="E113" i="2"/>
  <c r="E107" i="2"/>
  <c r="E101" i="2"/>
  <c r="E95" i="2"/>
  <c r="E89" i="2"/>
  <c r="E128" i="2"/>
  <c r="E139" i="2"/>
  <c r="E144" i="2"/>
  <c r="E135" i="2"/>
  <c r="E110" i="2"/>
  <c r="E104" i="2"/>
  <c r="E98" i="2"/>
  <c r="E167" i="2"/>
  <c r="E124" i="2"/>
  <c r="E109" i="2"/>
  <c r="E81" i="2"/>
  <c r="E155" i="2"/>
  <c r="E152" i="2"/>
  <c r="E111" i="2"/>
  <c r="E103" i="2"/>
  <c r="E112" i="2"/>
  <c r="E166" i="2"/>
  <c r="E74" i="2"/>
  <c r="E68" i="2"/>
  <c r="E140" i="2"/>
  <c r="E91" i="2"/>
  <c r="E90" i="2"/>
  <c r="E88" i="2"/>
  <c r="E137" i="2"/>
  <c r="E123" i="2"/>
  <c r="E99" i="2"/>
  <c r="E125" i="2"/>
  <c r="E92" i="2"/>
  <c r="E72" i="2"/>
  <c r="E66" i="2"/>
  <c r="E65" i="2"/>
  <c r="E48" i="2"/>
  <c r="E42" i="2"/>
  <c r="E36" i="2"/>
  <c r="E134" i="2"/>
  <c r="E96" i="2"/>
  <c r="E143" i="2"/>
  <c r="E93" i="2"/>
  <c r="E71" i="2"/>
  <c r="E133" i="2"/>
  <c r="E84" i="2"/>
  <c r="E83" i="2"/>
  <c r="E79" i="2"/>
  <c r="E78" i="2"/>
  <c r="E77" i="2"/>
  <c r="E69" i="2"/>
  <c r="E63" i="2"/>
  <c r="E57" i="2"/>
  <c r="E87" i="2"/>
  <c r="E25" i="2"/>
  <c r="E102" i="2"/>
  <c r="E56" i="2"/>
  <c r="E55" i="2"/>
  <c r="D43" i="2"/>
  <c r="E73" i="2"/>
  <c r="E45" i="2"/>
  <c r="E30" i="2"/>
  <c r="E136" i="2"/>
  <c r="E75" i="2"/>
  <c r="E58" i="2"/>
  <c r="E53" i="2"/>
  <c r="E52" i="2"/>
  <c r="E51" i="2"/>
  <c r="E32" i="2"/>
  <c r="E59" i="2"/>
  <c r="E29" i="2"/>
  <c r="E23" i="2"/>
  <c r="E17" i="2"/>
  <c r="E11" i="2"/>
  <c r="E5" i="2"/>
  <c r="F3" i="2"/>
  <c r="E94" i="2"/>
  <c r="E76" i="2"/>
  <c r="E35" i="2"/>
  <c r="E34" i="2"/>
  <c r="E33" i="2"/>
  <c r="E22" i="2"/>
  <c r="E16" i="2"/>
  <c r="E10" i="2"/>
  <c r="E3" i="2"/>
  <c r="E49" i="2"/>
  <c r="E20" i="2"/>
  <c r="E12" i="2"/>
  <c r="E26" i="2"/>
  <c r="E6" i="2"/>
  <c r="E40" i="2"/>
  <c r="E62" i="2"/>
  <c r="E41" i="2"/>
  <c r="E37" i="2"/>
  <c r="E21" i="2"/>
  <c r="E7" i="2"/>
  <c r="E8" i="2"/>
  <c r="E18" i="2"/>
  <c r="E67" i="2"/>
  <c r="E97" i="2"/>
  <c r="E46" i="2"/>
  <c r="E31" i="2"/>
  <c r="E15" i="2"/>
  <c r="E61" i="2"/>
  <c r="E108" i="2"/>
  <c r="E82" i="2"/>
  <c r="E47" i="2"/>
  <c r="E38" i="2"/>
  <c r="E117" i="2"/>
  <c r="E14" i="2"/>
  <c r="E13" i="2"/>
  <c r="E27" i="2"/>
  <c r="AL170" i="2"/>
  <c r="AJ150" i="2"/>
  <c r="AI150" i="2"/>
  <c r="Q164" i="2"/>
  <c r="P163" i="2"/>
  <c r="AG164" i="2"/>
  <c r="AF164" i="2"/>
  <c r="AE163" i="2"/>
  <c r="S164" i="2"/>
  <c r="T151" i="2"/>
  <c r="U151" i="2"/>
  <c r="S150" i="2"/>
  <c r="X150" i="2" s="1"/>
  <c r="X151" i="2"/>
  <c r="I169" i="2"/>
  <c r="H169" i="2"/>
  <c r="AE162" i="2"/>
  <c r="AG105" i="2"/>
  <c r="AF105" i="2"/>
  <c r="L166" i="2"/>
  <c r="K166" i="2"/>
  <c r="H28" i="2"/>
  <c r="R86" i="2"/>
  <c r="K189" i="2"/>
  <c r="K183" i="2"/>
  <c r="K177" i="2"/>
  <c r="K171" i="2"/>
  <c r="K188" i="2"/>
  <c r="K182" i="2"/>
  <c r="K158" i="2"/>
  <c r="K185" i="2"/>
  <c r="K179" i="2"/>
  <c r="K173" i="2"/>
  <c r="K167" i="2"/>
  <c r="K187" i="2"/>
  <c r="K174" i="2"/>
  <c r="K154" i="2"/>
  <c r="K148" i="2"/>
  <c r="K142" i="2"/>
  <c r="K136" i="2"/>
  <c r="K184" i="2"/>
  <c r="K160" i="2"/>
  <c r="K143" i="2"/>
  <c r="K132" i="2"/>
  <c r="K131" i="2"/>
  <c r="K125" i="2"/>
  <c r="K119" i="2"/>
  <c r="K113" i="2"/>
  <c r="K172" i="2"/>
  <c r="K180" i="2"/>
  <c r="K155" i="2"/>
  <c r="K153" i="2"/>
  <c r="K178" i="2"/>
  <c r="K139" i="2"/>
  <c r="K145" i="2"/>
  <c r="K133" i="2"/>
  <c r="K111" i="2"/>
  <c r="K99" i="2"/>
  <c r="K93" i="2"/>
  <c r="K140" i="2"/>
  <c r="K134" i="2"/>
  <c r="K147" i="2"/>
  <c r="K108" i="2"/>
  <c r="K102" i="2"/>
  <c r="K96" i="2"/>
  <c r="K152" i="2"/>
  <c r="K121" i="2"/>
  <c r="K79" i="2"/>
  <c r="K141" i="2"/>
  <c r="K126" i="2"/>
  <c r="K122" i="2"/>
  <c r="K161" i="2"/>
  <c r="K137" i="2"/>
  <c r="K116" i="2"/>
  <c r="K157" i="2"/>
  <c r="K123" i="2"/>
  <c r="K107" i="2"/>
  <c r="K135" i="2"/>
  <c r="K117" i="2"/>
  <c r="K130" i="2"/>
  <c r="K112" i="2"/>
  <c r="K92" i="2"/>
  <c r="K72" i="2"/>
  <c r="K66" i="2"/>
  <c r="K114" i="2"/>
  <c r="K101" i="2"/>
  <c r="K110" i="2"/>
  <c r="K175" i="2"/>
  <c r="K104" i="2"/>
  <c r="K80" i="2"/>
  <c r="K165" i="2"/>
  <c r="K129" i="2"/>
  <c r="K97" i="2"/>
  <c r="K58" i="2"/>
  <c r="K52" i="2"/>
  <c r="K46" i="2"/>
  <c r="K40" i="2"/>
  <c r="K34" i="2"/>
  <c r="K159" i="2"/>
  <c r="K146" i="2"/>
  <c r="K127" i="2"/>
  <c r="K120" i="2"/>
  <c r="K124" i="2"/>
  <c r="K94" i="2"/>
  <c r="K84" i="2"/>
  <c r="K83" i="2"/>
  <c r="K78" i="2"/>
  <c r="K77" i="2"/>
  <c r="K69" i="2"/>
  <c r="K63" i="2"/>
  <c r="K138" i="2"/>
  <c r="K109" i="2"/>
  <c r="K95" i="2"/>
  <c r="K91" i="2"/>
  <c r="K90" i="2"/>
  <c r="K73" i="2"/>
  <c r="K67" i="2"/>
  <c r="K61" i="2"/>
  <c r="K81" i="2"/>
  <c r="K68" i="2"/>
  <c r="K53" i="2"/>
  <c r="K29" i="2"/>
  <c r="K23" i="2"/>
  <c r="K17" i="2"/>
  <c r="K59" i="2"/>
  <c r="K76" i="2"/>
  <c r="K33" i="2"/>
  <c r="K98" i="2"/>
  <c r="K38" i="2"/>
  <c r="K35" i="2"/>
  <c r="K88" i="2"/>
  <c r="K37" i="2"/>
  <c r="K36" i="2"/>
  <c r="K27" i="2"/>
  <c r="K21" i="2"/>
  <c r="K15" i="2"/>
  <c r="K82" i="2"/>
  <c r="K47" i="2"/>
  <c r="K62" i="2"/>
  <c r="K48" i="2"/>
  <c r="K26" i="2"/>
  <c r="K20" i="2"/>
  <c r="K8" i="2"/>
  <c r="K115" i="2"/>
  <c r="K7" i="2"/>
  <c r="K3" i="2"/>
  <c r="K16" i="2"/>
  <c r="K75" i="2"/>
  <c r="J43" i="2"/>
  <c r="K41" i="2"/>
  <c r="K10" i="2"/>
  <c r="K128" i="2"/>
  <c r="K71" i="2"/>
  <c r="K4" i="2"/>
  <c r="K11" i="2"/>
  <c r="K9" i="2"/>
  <c r="K55" i="2"/>
  <c r="K18" i="2"/>
  <c r="K74" i="2"/>
  <c r="K14" i="2"/>
  <c r="K30" i="2"/>
  <c r="K57" i="2"/>
  <c r="K51" i="2"/>
  <c r="K25" i="2"/>
  <c r="K12" i="2"/>
  <c r="K22" i="2"/>
  <c r="K42" i="2"/>
  <c r="K5" i="2"/>
  <c r="K103" i="2"/>
  <c r="K56" i="2"/>
  <c r="K6" i="2"/>
  <c r="K89" i="2"/>
  <c r="K45" i="2"/>
  <c r="L3" i="2"/>
  <c r="K13" i="2"/>
  <c r="K49" i="2"/>
  <c r="AG150" i="2"/>
  <c r="X64" i="2"/>
  <c r="AL80" i="2"/>
  <c r="K28" i="2"/>
  <c r="N186" i="2"/>
  <c r="N188" i="2"/>
  <c r="N182" i="2"/>
  <c r="N187" i="2"/>
  <c r="N175" i="2"/>
  <c r="N157" i="2"/>
  <c r="N184" i="2"/>
  <c r="N178" i="2"/>
  <c r="N172" i="2"/>
  <c r="N189" i="2"/>
  <c r="N174" i="2"/>
  <c r="N179" i="2"/>
  <c r="N177" i="2"/>
  <c r="N170" i="2"/>
  <c r="N167" i="2"/>
  <c r="N180" i="2"/>
  <c r="N153" i="2"/>
  <c r="N147" i="2"/>
  <c r="N141" i="2"/>
  <c r="N135" i="2"/>
  <c r="N176" i="2"/>
  <c r="N165" i="2"/>
  <c r="N183" i="2"/>
  <c r="N173" i="2"/>
  <c r="N146" i="2"/>
  <c r="N145" i="2"/>
  <c r="N130" i="2"/>
  <c r="N124" i="2"/>
  <c r="N152" i="2"/>
  <c r="N185" i="2"/>
  <c r="N142" i="2"/>
  <c r="N143" i="2"/>
  <c r="N140" i="2"/>
  <c r="N134" i="2"/>
  <c r="N160" i="2"/>
  <c r="N110" i="2"/>
  <c r="N104" i="2"/>
  <c r="N98" i="2"/>
  <c r="N92" i="2"/>
  <c r="N154" i="2"/>
  <c r="N155" i="2"/>
  <c r="N129" i="2"/>
  <c r="N126" i="2"/>
  <c r="N125" i="2"/>
  <c r="N122" i="2"/>
  <c r="N116" i="2"/>
  <c r="N107" i="2"/>
  <c r="N101" i="2"/>
  <c r="N95" i="2"/>
  <c r="N112" i="2"/>
  <c r="N84" i="2"/>
  <c r="N78" i="2"/>
  <c r="N158" i="2"/>
  <c r="N171" i="2"/>
  <c r="N132" i="2"/>
  <c r="N123" i="2"/>
  <c r="N117" i="2"/>
  <c r="N113" i="2"/>
  <c r="N94" i="2"/>
  <c r="N93" i="2"/>
  <c r="N127" i="2"/>
  <c r="N108" i="2"/>
  <c r="N96" i="2"/>
  <c r="N71" i="2"/>
  <c r="N97" i="2"/>
  <c r="N87" i="2"/>
  <c r="N159" i="2"/>
  <c r="N120" i="2"/>
  <c r="N139" i="2"/>
  <c r="N136" i="2"/>
  <c r="N102" i="2"/>
  <c r="N83" i="2"/>
  <c r="N77" i="2"/>
  <c r="N69" i="2"/>
  <c r="N63" i="2"/>
  <c r="N57" i="2"/>
  <c r="N51" i="2"/>
  <c r="M43" i="2"/>
  <c r="N33" i="2"/>
  <c r="N111" i="2"/>
  <c r="N82" i="2"/>
  <c r="N79" i="2"/>
  <c r="N76" i="2"/>
  <c r="N133" i="2"/>
  <c r="N131" i="2"/>
  <c r="N115" i="2"/>
  <c r="N81" i="2"/>
  <c r="N74" i="2"/>
  <c r="N68" i="2"/>
  <c r="N62" i="2"/>
  <c r="N144" i="2"/>
  <c r="N119" i="2"/>
  <c r="N72" i="2"/>
  <c r="N66" i="2"/>
  <c r="N91" i="2"/>
  <c r="N22" i="2"/>
  <c r="N16" i="2"/>
  <c r="N38" i="2"/>
  <c r="N35" i="2"/>
  <c r="N34" i="2"/>
  <c r="N88" i="2"/>
  <c r="N61" i="2"/>
  <c r="N50" i="2"/>
  <c r="N37" i="2"/>
  <c r="N36" i="2"/>
  <c r="N27" i="2"/>
  <c r="N121" i="2"/>
  <c r="N109" i="2"/>
  <c r="N47" i="2"/>
  <c r="N46" i="2"/>
  <c r="N24" i="2"/>
  <c r="N67" i="2"/>
  <c r="N65" i="2"/>
  <c r="N48" i="2"/>
  <c r="N26" i="2"/>
  <c r="N20" i="2"/>
  <c r="N8" i="2"/>
  <c r="N161" i="2"/>
  <c r="N90" i="2"/>
  <c r="N49" i="2"/>
  <c r="N103" i="2"/>
  <c r="N70" i="2"/>
  <c r="N41" i="2"/>
  <c r="N40" i="2"/>
  <c r="N25" i="2"/>
  <c r="N13" i="2"/>
  <c r="N7" i="2"/>
  <c r="N137" i="2"/>
  <c r="N128" i="2"/>
  <c r="N58" i="2"/>
  <c r="N52" i="2"/>
  <c r="N21" i="2"/>
  <c r="N9" i="2"/>
  <c r="N30" i="2"/>
  <c r="N114" i="2"/>
  <c r="N29" i="2"/>
  <c r="N15" i="2"/>
  <c r="N11" i="2"/>
  <c r="N53" i="2"/>
  <c r="N73" i="2"/>
  <c r="N23" i="2"/>
  <c r="N55" i="2"/>
  <c r="N18" i="2"/>
  <c r="N6" i="2"/>
  <c r="N12" i="2"/>
  <c r="N148" i="2"/>
  <c r="N5" i="2"/>
  <c r="N59" i="2"/>
  <c r="N56" i="2"/>
  <c r="N99" i="2"/>
  <c r="N42" i="2"/>
  <c r="N138" i="2"/>
  <c r="N75" i="2"/>
  <c r="N17" i="2"/>
  <c r="N39" i="2"/>
  <c r="N10" i="2"/>
  <c r="O3" i="2"/>
  <c r="N89" i="2"/>
  <c r="N3" i="2"/>
  <c r="B14" i="4"/>
  <c r="C134" i="1"/>
  <c r="C135" i="1" s="1"/>
  <c r="AL30" i="2" l="1"/>
  <c r="AL109" i="2"/>
  <c r="AL66" i="2"/>
  <c r="AL29" i="2"/>
  <c r="AL126" i="2"/>
  <c r="AL174" i="2"/>
  <c r="AL62" i="2"/>
  <c r="AL5" i="2"/>
  <c r="AL38" i="2"/>
  <c r="AL97" i="2"/>
  <c r="AL41" i="2"/>
  <c r="AL167" i="2"/>
  <c r="AI43" i="2"/>
  <c r="AH85" i="2"/>
  <c r="AH149" i="2" s="1"/>
  <c r="AM43" i="2"/>
  <c r="AJ43" i="2"/>
  <c r="M7" i="4"/>
  <c r="AL180" i="2"/>
  <c r="AL79" i="2"/>
  <c r="AL15" i="2"/>
  <c r="AL138" i="2"/>
  <c r="AL68" i="2"/>
  <c r="AL144" i="2"/>
  <c r="AL111" i="2"/>
  <c r="AL76" i="2"/>
  <c r="AL135" i="2"/>
  <c r="AL70" i="2"/>
  <c r="AL87" i="2"/>
  <c r="AL27" i="2"/>
  <c r="AL155" i="2"/>
  <c r="AL77" i="2"/>
  <c r="AL114" i="2"/>
  <c r="AL16" i="2"/>
  <c r="AL154" i="2"/>
  <c r="AL74" i="2"/>
  <c r="AL34" i="2"/>
  <c r="AL69" i="2"/>
  <c r="AL117" i="2"/>
  <c r="AL82" i="2"/>
  <c r="AL173" i="2"/>
  <c r="AL118" i="2"/>
  <c r="AL140" i="2"/>
  <c r="AL136" i="2"/>
  <c r="AL89" i="2"/>
  <c r="AL137" i="2"/>
  <c r="AL10" i="2"/>
  <c r="AL107" i="2"/>
  <c r="AL59" i="2"/>
  <c r="AL119" i="2"/>
  <c r="AL121" i="2"/>
  <c r="AL49" i="2"/>
  <c r="AL104" i="2"/>
  <c r="AL179" i="2"/>
  <c r="AL148" i="2"/>
  <c r="AL28" i="2"/>
  <c r="AL72" i="2"/>
  <c r="AL35" i="2"/>
  <c r="AL53" i="2"/>
  <c r="AL141" i="2"/>
  <c r="AL113" i="2"/>
  <c r="AL8" i="2"/>
  <c r="AL128" i="2"/>
  <c r="AL6" i="2"/>
  <c r="AL61" i="2"/>
  <c r="AL96" i="2"/>
  <c r="AL188" i="2"/>
  <c r="AK43" i="2"/>
  <c r="AL43" i="2" s="1"/>
  <c r="AL151" i="2"/>
  <c r="AL131" i="2"/>
  <c r="AL13" i="2"/>
  <c r="AL115" i="2"/>
  <c r="AL11" i="2"/>
  <c r="AL71" i="2"/>
  <c r="AL56" i="2"/>
  <c r="AL42" i="2"/>
  <c r="AL21" i="2"/>
  <c r="AL153" i="2"/>
  <c r="AL12" i="2"/>
  <c r="AL67" i="2"/>
  <c r="AL133" i="2"/>
  <c r="AL139" i="2"/>
  <c r="AL32" i="2"/>
  <c r="AL31" i="2"/>
  <c r="AL57" i="2"/>
  <c r="AL157" i="2"/>
  <c r="AL172" i="2"/>
  <c r="AL171" i="2"/>
  <c r="AL127" i="2"/>
  <c r="AL25" i="2"/>
  <c r="AL189" i="2"/>
  <c r="AL63" i="2"/>
  <c r="AL7" i="2"/>
  <c r="AL18" i="2"/>
  <c r="AL73" i="2"/>
  <c r="AL158" i="2"/>
  <c r="AL145" i="2"/>
  <c r="AL4" i="2"/>
  <c r="AL9" i="2"/>
  <c r="AL50" i="2"/>
  <c r="AL125" i="2"/>
  <c r="AL181" i="2"/>
  <c r="AL147" i="2"/>
  <c r="AL93" i="2"/>
  <c r="AL112" i="2"/>
  <c r="AL120" i="2"/>
  <c r="AL103" i="2"/>
  <c r="AL37" i="2"/>
  <c r="AL40" i="2"/>
  <c r="AL94" i="2"/>
  <c r="AL90" i="2"/>
  <c r="P168" i="2"/>
  <c r="R162" i="2"/>
  <c r="Q162" i="2"/>
  <c r="D190" i="2"/>
  <c r="E168" i="2"/>
  <c r="AA60" i="2"/>
  <c r="Z60" i="2"/>
  <c r="Y54" i="2"/>
  <c r="I60" i="2"/>
  <c r="G54" i="2"/>
  <c r="AM54" i="2" s="1"/>
  <c r="H60" i="2"/>
  <c r="T162" i="2"/>
  <c r="U162" i="2"/>
  <c r="U150" i="2"/>
  <c r="T150" i="2"/>
  <c r="Y163" i="2"/>
  <c r="AD163" i="2" s="1"/>
  <c r="Z164" i="2"/>
  <c r="AA164" i="2"/>
  <c r="AC163" i="2"/>
  <c r="AJ163" i="2"/>
  <c r="AI163" i="2"/>
  <c r="AA150" i="2"/>
  <c r="Z150" i="2"/>
  <c r="T164" i="2"/>
  <c r="S163" i="2"/>
  <c r="U164" i="2"/>
  <c r="X163" i="2"/>
  <c r="W163" i="2"/>
  <c r="AM150" i="2"/>
  <c r="C150" i="2"/>
  <c r="AK150" i="2"/>
  <c r="AL150" i="2" s="1"/>
  <c r="W162" i="2"/>
  <c r="V168" i="2"/>
  <c r="X162" i="2"/>
  <c r="AD150" i="2"/>
  <c r="X164" i="2"/>
  <c r="AA162" i="2"/>
  <c r="Z162" i="2"/>
  <c r="AB54" i="2"/>
  <c r="AD60" i="2"/>
  <c r="AC60" i="2"/>
  <c r="O60" i="2"/>
  <c r="N60" i="2"/>
  <c r="M54" i="2"/>
  <c r="R54" i="2" s="1"/>
  <c r="AG163" i="2"/>
  <c r="AF163" i="2"/>
  <c r="F54" i="2"/>
  <c r="E54" i="2"/>
  <c r="D44" i="2"/>
  <c r="AK60" i="2"/>
  <c r="AL60" i="2" s="1"/>
  <c r="K7" i="4"/>
  <c r="AD43" i="2"/>
  <c r="AC43" i="2"/>
  <c r="H162" i="2"/>
  <c r="G168" i="2"/>
  <c r="I162" i="2"/>
  <c r="E163" i="2"/>
  <c r="AD162" i="2"/>
  <c r="U60" i="2"/>
  <c r="S54" i="2"/>
  <c r="T60" i="2"/>
  <c r="C7" i="4"/>
  <c r="E43" i="2"/>
  <c r="F43" i="2"/>
  <c r="C54" i="2"/>
  <c r="B44" i="2"/>
  <c r="L60" i="2"/>
  <c r="K60" i="2"/>
  <c r="J54" i="2"/>
  <c r="AB168" i="2"/>
  <c r="F7" i="4"/>
  <c r="N43" i="2"/>
  <c r="O43" i="2"/>
  <c r="E7" i="4"/>
  <c r="L43" i="2"/>
  <c r="K43" i="2"/>
  <c r="Q163" i="2"/>
  <c r="O162" i="2"/>
  <c r="N162" i="2"/>
  <c r="R60" i="2"/>
  <c r="AG60" i="2"/>
  <c r="AF60" i="2"/>
  <c r="AE54" i="2"/>
  <c r="AJ60" i="2"/>
  <c r="B163" i="2"/>
  <c r="C164" i="2"/>
  <c r="AM164" i="2"/>
  <c r="AK164" i="2"/>
  <c r="AL164" i="2" s="1"/>
  <c r="G7" i="4"/>
  <c r="R43" i="2"/>
  <c r="Q43" i="2"/>
  <c r="C14" i="4"/>
  <c r="D134" i="1"/>
  <c r="D135" i="1" s="1"/>
  <c r="AF162" i="2"/>
  <c r="AE168" i="2"/>
  <c r="AJ168" i="2" s="1"/>
  <c r="AG162" i="2"/>
  <c r="AJ162" i="2"/>
  <c r="O164" i="2"/>
  <c r="N164" i="2"/>
  <c r="M163" i="2"/>
  <c r="R163" i="2" s="1"/>
  <c r="AM60" i="2"/>
  <c r="H7" i="4"/>
  <c r="T43" i="2"/>
  <c r="U43" i="2"/>
  <c r="X54" i="2"/>
  <c r="W54" i="2"/>
  <c r="V44" i="2"/>
  <c r="Q54" i="2"/>
  <c r="P44" i="2"/>
  <c r="M9" i="4"/>
  <c r="J7" i="4"/>
  <c r="Z43" i="2"/>
  <c r="AA43" i="2"/>
  <c r="AI168" i="2"/>
  <c r="AH190" i="2"/>
  <c r="O150" i="2"/>
  <c r="N150" i="2"/>
  <c r="L150" i="2"/>
  <c r="K150" i="2"/>
  <c r="D7" i="4"/>
  <c r="I43" i="2"/>
  <c r="H43" i="2"/>
  <c r="R150" i="2"/>
  <c r="L164" i="2"/>
  <c r="J163" i="2"/>
  <c r="J168" i="2" s="1"/>
  <c r="K164" i="2"/>
  <c r="I163" i="2"/>
  <c r="H163" i="2"/>
  <c r="X43" i="2"/>
  <c r="K162" i="2"/>
  <c r="L162" i="2"/>
  <c r="AI85" i="2" l="1"/>
  <c r="O7" i="4"/>
  <c r="N7" i="4"/>
  <c r="AM163" i="2"/>
  <c r="AK163" i="2"/>
  <c r="AL163" i="2" s="1"/>
  <c r="C163" i="2"/>
  <c r="L54" i="2"/>
  <c r="K54" i="2"/>
  <c r="J44" i="2"/>
  <c r="AA54" i="2"/>
  <c r="Z54" i="2"/>
  <c r="Y44" i="2"/>
  <c r="AF168" i="2"/>
  <c r="AE190" i="2"/>
  <c r="AJ190" i="2" s="1"/>
  <c r="AG168" i="2"/>
  <c r="U54" i="2"/>
  <c r="T54" i="2"/>
  <c r="S44" i="2"/>
  <c r="AD54" i="2"/>
  <c r="AC54" i="2"/>
  <c r="AB44" i="2"/>
  <c r="C44" i="2"/>
  <c r="B8" i="4"/>
  <c r="B85" i="2"/>
  <c r="Z163" i="2"/>
  <c r="AA163" i="2"/>
  <c r="D14" i="4"/>
  <c r="E134" i="1"/>
  <c r="E135" i="1" s="1"/>
  <c r="AG54" i="2"/>
  <c r="AF54" i="2"/>
  <c r="AE44" i="2"/>
  <c r="AJ54" i="2"/>
  <c r="AK54" i="2"/>
  <c r="AL54" i="2" s="1"/>
  <c r="Y168" i="2"/>
  <c r="AD168" i="2" s="1"/>
  <c r="U163" i="2"/>
  <c r="T163" i="2"/>
  <c r="E190" i="2"/>
  <c r="F44" i="2"/>
  <c r="E44" i="2"/>
  <c r="M10" i="4"/>
  <c r="M11" i="4"/>
  <c r="AI149" i="2"/>
  <c r="M13" i="4"/>
  <c r="F163" i="2"/>
  <c r="S168" i="2"/>
  <c r="X168" i="2" s="1"/>
  <c r="K168" i="2"/>
  <c r="J190" i="2"/>
  <c r="L168" i="2"/>
  <c r="L163" i="2"/>
  <c r="K163" i="2"/>
  <c r="Q44" i="2"/>
  <c r="N163" i="2"/>
  <c r="O163" i="2"/>
  <c r="P85" i="2"/>
  <c r="D85" i="2"/>
  <c r="H168" i="2"/>
  <c r="G190" i="2"/>
  <c r="I168" i="2"/>
  <c r="P190" i="2"/>
  <c r="Q168" i="2"/>
  <c r="AI190" i="2"/>
  <c r="G8" i="4"/>
  <c r="O54" i="2"/>
  <c r="N54" i="2"/>
  <c r="M44" i="2"/>
  <c r="R44" i="2" s="1"/>
  <c r="W168" i="2"/>
  <c r="V190" i="2"/>
  <c r="M168" i="2"/>
  <c r="R168" i="2" s="1"/>
  <c r="I54" i="2"/>
  <c r="H54" i="2"/>
  <c r="G44" i="2"/>
  <c r="W44" i="2"/>
  <c r="I8" i="4"/>
  <c r="V85" i="2"/>
  <c r="AB190" i="2"/>
  <c r="AC168" i="2"/>
  <c r="C8" i="4"/>
  <c r="L190" i="2" l="1"/>
  <c r="K190" i="2"/>
  <c r="W190" i="2"/>
  <c r="I190" i="2"/>
  <c r="H190" i="2"/>
  <c r="B9" i="4"/>
  <c r="B149" i="2"/>
  <c r="C85" i="2"/>
  <c r="AG190" i="2"/>
  <c r="AF190" i="2"/>
  <c r="I44" i="2"/>
  <c r="H44" i="2"/>
  <c r="D8" i="4"/>
  <c r="G85" i="2"/>
  <c r="T168" i="2"/>
  <c r="S190" i="2"/>
  <c r="U168" i="2"/>
  <c r="O44" i="2"/>
  <c r="N44" i="2"/>
  <c r="F8" i="4"/>
  <c r="M85" i="2"/>
  <c r="C9" i="4"/>
  <c r="D149" i="2"/>
  <c r="F85" i="2"/>
  <c r="E85" i="2"/>
  <c r="Y190" i="2"/>
  <c r="AD190" i="2" s="1"/>
  <c r="Z168" i="2"/>
  <c r="AA168" i="2"/>
  <c r="AA44" i="2"/>
  <c r="Z44" i="2"/>
  <c r="J8" i="4"/>
  <c r="Y85" i="2"/>
  <c r="I9" i="4"/>
  <c r="V149" i="2"/>
  <c r="W85" i="2"/>
  <c r="G9" i="4"/>
  <c r="P149" i="2"/>
  <c r="Q85" i="2"/>
  <c r="AM44" i="2"/>
  <c r="E14" i="4"/>
  <c r="F134" i="1"/>
  <c r="F135" i="1" s="1"/>
  <c r="U44" i="2"/>
  <c r="T44" i="2"/>
  <c r="H8" i="4"/>
  <c r="S85" i="2"/>
  <c r="M190" i="2"/>
  <c r="R190" i="2" s="1"/>
  <c r="O168" i="2"/>
  <c r="N168" i="2"/>
  <c r="AC190" i="2"/>
  <c r="AK44" i="2"/>
  <c r="AG44" i="2"/>
  <c r="AF44" i="2"/>
  <c r="AJ44" i="2"/>
  <c r="L8" i="4"/>
  <c r="AE85" i="2"/>
  <c r="AD44" i="2"/>
  <c r="AC44" i="2"/>
  <c r="AB85" i="2"/>
  <c r="K8" i="4"/>
  <c r="L44" i="2"/>
  <c r="K44" i="2"/>
  <c r="J85" i="2"/>
  <c r="E8" i="4"/>
  <c r="Q190" i="2"/>
  <c r="X44" i="2"/>
  <c r="O8" i="4" l="1"/>
  <c r="F9" i="4"/>
  <c r="M149" i="2"/>
  <c r="R149" i="2" s="1"/>
  <c r="N85" i="2"/>
  <c r="O85" i="2"/>
  <c r="AM85" i="2"/>
  <c r="J9" i="4"/>
  <c r="AA85" i="2"/>
  <c r="Z85" i="2"/>
  <c r="Y149" i="2"/>
  <c r="R85" i="2"/>
  <c r="AA190" i="2"/>
  <c r="Z190" i="2"/>
  <c r="AK85" i="2"/>
  <c r="E9" i="4"/>
  <c r="J149" i="2"/>
  <c r="L85" i="2"/>
  <c r="K85" i="2"/>
  <c r="B11" i="4"/>
  <c r="B10" i="4"/>
  <c r="C149" i="2"/>
  <c r="B162" i="2"/>
  <c r="B13" i="4"/>
  <c r="U190" i="2"/>
  <c r="T190" i="2"/>
  <c r="O190" i="2"/>
  <c r="N190" i="2"/>
  <c r="X190" i="2"/>
  <c r="AL44" i="2"/>
  <c r="N8" i="4"/>
  <c r="K9" i="4"/>
  <c r="AB149" i="2"/>
  <c r="AC85" i="2"/>
  <c r="AD85" i="2"/>
  <c r="G11" i="4"/>
  <c r="G10" i="4"/>
  <c r="Q149" i="2"/>
  <c r="G13" i="4"/>
  <c r="D9" i="4"/>
  <c r="G149" i="2"/>
  <c r="I85" i="2"/>
  <c r="H85" i="2"/>
  <c r="L9" i="4"/>
  <c r="AE149" i="2"/>
  <c r="AG85" i="2"/>
  <c r="AF85" i="2"/>
  <c r="AJ85" i="2"/>
  <c r="H9" i="4"/>
  <c r="U85" i="2"/>
  <c r="S149" i="2"/>
  <c r="X149" i="2" s="1"/>
  <c r="T85" i="2"/>
  <c r="X85" i="2"/>
  <c r="C11" i="4"/>
  <c r="C10" i="4"/>
  <c r="F149" i="2"/>
  <c r="E149" i="2"/>
  <c r="C13" i="4"/>
  <c r="F14" i="4"/>
  <c r="G134" i="1"/>
  <c r="G135" i="1" s="1"/>
  <c r="I11" i="4"/>
  <c r="I10" i="4"/>
  <c r="W149" i="2"/>
  <c r="I13" i="4"/>
  <c r="O9" i="4" l="1"/>
  <c r="K11" i="4"/>
  <c r="K10" i="4"/>
  <c r="AD149" i="2"/>
  <c r="AC149" i="2"/>
  <c r="K13" i="4"/>
  <c r="J11" i="4"/>
  <c r="J10" i="4"/>
  <c r="Z149" i="2"/>
  <c r="AA149" i="2"/>
  <c r="J13" i="4"/>
  <c r="L10" i="4"/>
  <c r="L11" i="4"/>
  <c r="AG149" i="2"/>
  <c r="AF149" i="2"/>
  <c r="L13" i="4"/>
  <c r="AJ149" i="2"/>
  <c r="D11" i="4"/>
  <c r="D10" i="4"/>
  <c r="H149" i="2"/>
  <c r="I149" i="2"/>
  <c r="D13" i="4"/>
  <c r="H11" i="4"/>
  <c r="H10" i="4"/>
  <c r="T149" i="2"/>
  <c r="U149" i="2"/>
  <c r="H13" i="4"/>
  <c r="E11" i="4"/>
  <c r="E10" i="4"/>
  <c r="L149" i="2"/>
  <c r="K149" i="2"/>
  <c r="E13" i="4"/>
  <c r="AM149" i="2"/>
  <c r="AK149" i="2"/>
  <c r="G14" i="4"/>
  <c r="H134" i="1"/>
  <c r="H135" i="1" s="1"/>
  <c r="N9" i="4"/>
  <c r="AL85" i="2"/>
  <c r="F11" i="4"/>
  <c r="F10" i="4"/>
  <c r="N149" i="2"/>
  <c r="O149" i="2"/>
  <c r="F13" i="4"/>
  <c r="B168" i="2"/>
  <c r="C162" i="2"/>
  <c r="AM162" i="2"/>
  <c r="AK162" i="2"/>
  <c r="AL162" i="2" s="1"/>
  <c r="F162" i="2"/>
  <c r="O13" i="4" l="1"/>
  <c r="O11" i="4"/>
  <c r="O10" i="4"/>
  <c r="B31" i="4"/>
  <c r="B30" i="4"/>
  <c r="N11" i="4"/>
  <c r="N10" i="4"/>
  <c r="AL149" i="2"/>
  <c r="B32" i="4"/>
  <c r="N13" i="4"/>
  <c r="H14" i="4"/>
  <c r="I134" i="1"/>
  <c r="I135" i="1" s="1"/>
  <c r="AK168" i="2"/>
  <c r="AL168" i="2" s="1"/>
  <c r="B190" i="2"/>
  <c r="C168" i="2"/>
  <c r="AM168" i="2"/>
  <c r="F168" i="2"/>
  <c r="AM190" i="2" l="1"/>
  <c r="C190" i="2"/>
  <c r="AK190" i="2"/>
  <c r="AL190" i="2" s="1"/>
  <c r="F190" i="2"/>
  <c r="I14" i="4"/>
  <c r="J134" i="1"/>
  <c r="J135" i="1" s="1"/>
  <c r="J14" i="4" l="1"/>
  <c r="K134" i="1"/>
  <c r="K135" i="1" s="1"/>
  <c r="K14" i="4" l="1"/>
  <c r="L134" i="1"/>
  <c r="L135" i="1" s="1"/>
  <c r="L14" i="4" l="1"/>
  <c r="M134" i="1"/>
  <c r="M135" i="1" s="1"/>
  <c r="M14" i="4" l="1"/>
  <c r="O14" i="4" s="1"/>
  <c r="N134" i="1"/>
  <c r="N135" i="1" s="1"/>
  <c r="B33" i="4" l="1"/>
  <c r="N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Dias - ASSESSOR EXECUTIVO - IPOG Goiânia</author>
  </authors>
  <commentList>
    <comment ref="B134" authorId="0" shapeId="0" xr:uid="{00000000-0006-0000-0000-000001000000}">
      <text>
        <r>
          <rPr>
            <sz val="11"/>
            <color indexed="8"/>
            <rFont val="Calibri"/>
          </rPr>
          <t xml:space="preserve">Alimente com o Saldo Inicial
</t>
        </r>
      </text>
    </comment>
  </commentList>
</comments>
</file>

<file path=xl/sharedStrings.xml><?xml version="1.0" encoding="utf-8"?>
<sst xmlns="http://schemas.openxmlformats.org/spreadsheetml/2006/main" count="448" uniqueCount="420">
  <si>
    <t>FLUXO DE CAIXA MENSAL</t>
  </si>
  <si>
    <t>-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</si>
  <si>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</si>
  <si>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</si>
  <si>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</si>
  <si>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</si>
  <si>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</si>
  <si>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</si>
  <si>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</si>
  <si>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</si>
  <si>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</si>
  <si>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</si>
  <si>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</si>
  <si>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</si>
  <si>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</si>
  <si>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( + ) Disponíveis</t>
  </si>
  <si>
    <t>Bancos</t>
  </si>
  <si>
    <t>Banco 1 (ag / cc )</t>
  </si>
  <si>
    <t>Banco 2 (ag / cc )</t>
  </si>
  <si>
    <t>Banco 3 (ag / cc )</t>
  </si>
  <si>
    <t>Dinheiro/Caixa/Cofre</t>
  </si>
  <si>
    <t>Aplicação 1</t>
  </si>
  <si>
    <t>Aplicação 2</t>
  </si>
  <si>
    <t>Aplicação 3</t>
  </si>
  <si>
    <t>Aplicações</t>
  </si>
  <si>
    <t>( + ) Entradas</t>
  </si>
  <si>
    <t>Recebimento de Pix</t>
  </si>
  <si>
    <t>Recebimento de Dinheiro</t>
  </si>
  <si>
    <t>Recebimento de Cartão de Débito</t>
  </si>
  <si>
    <t>Recebimento de Cartão de Crédito</t>
  </si>
  <si>
    <t>Recebimento via Link de Pagamento</t>
  </si>
  <si>
    <t>Aporte Financeiro de Sócios</t>
  </si>
  <si>
    <t>Emprestimos bancários</t>
  </si>
  <si>
    <t>Outras Receitas não operacionais</t>
  </si>
  <si>
    <t>( - ) Saídas</t>
  </si>
  <si>
    <t>13º 1ª Parcela</t>
  </si>
  <si>
    <t>13º 2ª Parcela</t>
  </si>
  <si>
    <t>Adiantamento 40% Do Salário</t>
  </si>
  <si>
    <t>Água</t>
  </si>
  <si>
    <t>Alimentação</t>
  </si>
  <si>
    <t>Aluguel</t>
  </si>
  <si>
    <t>Alvará De Inspenção Sanitária</t>
  </si>
  <si>
    <t>Assessoria / Consultoria</t>
  </si>
  <si>
    <t>Assiduidade</t>
  </si>
  <si>
    <t>Assinaturas</t>
  </si>
  <si>
    <t>Beneficios</t>
  </si>
  <si>
    <t>Bens Duráveis De Pequeno Valor</t>
  </si>
  <si>
    <t>Bolsa Estagiários</t>
  </si>
  <si>
    <t>Bonificação</t>
  </si>
  <si>
    <t>Brindes</t>
  </si>
  <si>
    <t>Capital De Giro</t>
  </si>
  <si>
    <t>Cartório</t>
  </si>
  <si>
    <t>Certificado Digital</t>
  </si>
  <si>
    <t>Combustível</t>
  </si>
  <si>
    <t>Compra De Matéria Prima</t>
  </si>
  <si>
    <t>Compra De Mercadoria</t>
  </si>
  <si>
    <t>Contador</t>
  </si>
  <si>
    <t>Convênio Farmácia</t>
  </si>
  <si>
    <t>Correios</t>
  </si>
  <si>
    <t>Cursos</t>
  </si>
  <si>
    <t>Diária</t>
  </si>
  <si>
    <t>Documentos PCMSO/PGR/LTCAT</t>
  </si>
  <si>
    <t>Embalagens</t>
  </si>
  <si>
    <t>Empréstimos Bancários</t>
  </si>
  <si>
    <t>Energia</t>
  </si>
  <si>
    <t>Epi'S</t>
  </si>
  <si>
    <t>Estacionamento</t>
  </si>
  <si>
    <t>Exames Clinico / Admissional / Demissional</t>
  </si>
  <si>
    <t>Férias</t>
  </si>
  <si>
    <t>Frete De Compra</t>
  </si>
  <si>
    <t>Frete De Entrega</t>
  </si>
  <si>
    <t>Hora Extra</t>
  </si>
  <si>
    <t>Imobilizado - Aquisição De Imóveis</t>
  </si>
  <si>
    <t>Imobilizado - Aquisição De Software</t>
  </si>
  <si>
    <t>Imobilizado - Benfeitorias</t>
  </si>
  <si>
    <t>Imobilizado - Computadores E Perifericos</t>
  </si>
  <si>
    <t>Imobilizado - Máquinas, Equipamentos E Ferramentas</t>
  </si>
  <si>
    <t>Imobilizado - Marcas E Patentes</t>
  </si>
  <si>
    <t>Imobilizado - Moveis E Utensilios</t>
  </si>
  <si>
    <t>Imobilizado - Veículos</t>
  </si>
  <si>
    <t>Imposto - FGTS</t>
  </si>
  <si>
    <t>Imposto - ICMS</t>
  </si>
  <si>
    <t>Imposto - INSS</t>
  </si>
  <si>
    <t>Imposto - Simples Nacional</t>
  </si>
  <si>
    <t>Informática</t>
  </si>
  <si>
    <t>Internet</t>
  </si>
  <si>
    <t>IPTU</t>
  </si>
  <si>
    <t>IPVA</t>
  </si>
  <si>
    <t>Lanches</t>
  </si>
  <si>
    <t>Limpeza / Higiene</t>
  </si>
  <si>
    <t>Manutenção</t>
  </si>
  <si>
    <t>Material Divulgação</t>
  </si>
  <si>
    <t>Material Escritório</t>
  </si>
  <si>
    <t>Medicamentos</t>
  </si>
  <si>
    <t>Outras Despesas Não Operacionais</t>
  </si>
  <si>
    <t>Outros Débitos</t>
  </si>
  <si>
    <t>Outros Impostos</t>
  </si>
  <si>
    <t>Outros Investimentos</t>
  </si>
  <si>
    <t>Prestação De Serviços</t>
  </si>
  <si>
    <t>Pro-Labore</t>
  </si>
  <si>
    <t>Propaganda</t>
  </si>
  <si>
    <t>Reformas</t>
  </si>
  <si>
    <t>Rescisão</t>
  </si>
  <si>
    <t xml:space="preserve">Retirada Socios </t>
  </si>
  <si>
    <t>Sacolas</t>
  </si>
  <si>
    <t>Salários</t>
  </si>
  <si>
    <t>Seguro De Vida</t>
  </si>
  <si>
    <t>Sistema</t>
  </si>
  <si>
    <t>Tarifa Bancária</t>
  </si>
  <si>
    <t>Taxa Bombeiros</t>
  </si>
  <si>
    <t>Taxa De Licença Para Funcionamento</t>
  </si>
  <si>
    <t>Taxas / Anuidades</t>
  </si>
  <si>
    <t>Telefone</t>
  </si>
  <si>
    <t>Transporte Para Funcionários</t>
  </si>
  <si>
    <t>Uniforme</t>
  </si>
  <si>
    <t>( +/- ) Transferência Internas</t>
  </si>
  <si>
    <t>Transferência Entre Contas</t>
  </si>
  <si>
    <t>( = ) Geração de Caixa</t>
  </si>
  <si>
    <t>( + ) Saldo Inicial</t>
  </si>
  <si>
    <t>( = ) Saldo Final</t>
  </si>
  <si>
    <t>DEMONSTRAÇÃO DE RESULTADO DE EXERCÍCIO</t>
  </si>
  <si>
    <t>DRE</t>
  </si>
  <si>
    <t>AV % JAN</t>
  </si>
  <si>
    <t>AV % FEV</t>
  </si>
  <si>
    <t>AH % FEV</t>
  </si>
  <si>
    <t>AV % MAR</t>
  </si>
  <si>
    <t>AH % MAR</t>
  </si>
  <si>
    <t>AV % ABR</t>
  </si>
  <si>
    <t>AH % ABR</t>
  </si>
  <si>
    <t>AV % MAI</t>
  </si>
  <si>
    <t>AH % MAI</t>
  </si>
  <si>
    <t xml:space="preserve">AV % JU </t>
  </si>
  <si>
    <t>AH % JUN</t>
  </si>
  <si>
    <t>AV % JUL</t>
  </si>
  <si>
    <t>AH % JUL</t>
  </si>
  <si>
    <t>AV % AGO</t>
  </si>
  <si>
    <t>AH % AGO</t>
  </si>
  <si>
    <t>AV % SET</t>
  </si>
  <si>
    <t>AH % SET</t>
  </si>
  <si>
    <t>AV % OUT</t>
  </si>
  <si>
    <t>AH % OUT</t>
  </si>
  <si>
    <t>AV % NOV</t>
  </si>
  <si>
    <t>AH % NOV</t>
  </si>
  <si>
    <t>AV % DEZ</t>
  </si>
  <si>
    <t>AH % DEZ</t>
  </si>
  <si>
    <t>AV % TT</t>
  </si>
  <si>
    <t>MÉDIA</t>
  </si>
  <si>
    <t>(+) RECEITA TOTAL DE VENDAS</t>
  </si>
  <si>
    <t>PRODUTOS</t>
  </si>
  <si>
    <t>PRODUTO 1</t>
  </si>
  <si>
    <t>PRODUTO 2</t>
  </si>
  <si>
    <t>PRODUTO 3</t>
  </si>
  <si>
    <t>LINHA DE PRODUTOS</t>
  </si>
  <si>
    <t>LINHA 1</t>
  </si>
  <si>
    <t>LINHA 2</t>
  </si>
  <si>
    <t>LINHA 3</t>
  </si>
  <si>
    <t>SERVIÇOS</t>
  </si>
  <si>
    <t>SERVIÇO 1</t>
  </si>
  <si>
    <t>SERVIÇO 2</t>
  </si>
  <si>
    <t>SERVIÇO 3</t>
  </si>
  <si>
    <t>CANAL DE VENDAS</t>
  </si>
  <si>
    <t>LOJA FISICA</t>
  </si>
  <si>
    <t>MARKETPLACE</t>
  </si>
  <si>
    <t>SITE PRÓPRIO</t>
  </si>
  <si>
    <t>FORMA DE VENDA</t>
  </si>
  <si>
    <t>ATACADO</t>
  </si>
  <si>
    <t>VAREJO</t>
  </si>
  <si>
    <t>RECEITAS DIVERSAS</t>
  </si>
  <si>
    <t>RECEITAS DE VENDAS DIVERSAS</t>
  </si>
  <si>
    <t>(-) DEDUÇÕES</t>
  </si>
  <si>
    <t>IMPOSTOS S/VENDAS</t>
  </si>
  <si>
    <t>ICMS S/VENDAS</t>
  </si>
  <si>
    <t>ISS S/VENDAS</t>
  </si>
  <si>
    <t>PIS S/VENDAS</t>
  </si>
  <si>
    <t>COFINS S/VENDAS</t>
  </si>
  <si>
    <t>SIMPLES NACIONAL</t>
  </si>
  <si>
    <t>OUTRAS DEDUÇÕES</t>
  </si>
  <si>
    <t>DESCONTOS CONCEDIDOS</t>
  </si>
  <si>
    <t>DEVOLUÇÕES DE CLIENTES</t>
  </si>
  <si>
    <t>(=) RECEITA LIQUIDA</t>
  </si>
  <si>
    <t>(-) CUSTOS DIRETOS</t>
  </si>
  <si>
    <t>CUSTOS DE PRODUÇÃO</t>
  </si>
  <si>
    <t>EMBALAGENS PRODUÇÃO</t>
  </si>
  <si>
    <t>INSUMOS DIRETOS</t>
  </si>
  <si>
    <t>MATÉRIA PRIMA</t>
  </si>
  <si>
    <t>CUSTOS DE MERCADORIAS PARA REVENDA</t>
  </si>
  <si>
    <t>COMPRA DE MERCADORIAS PARA REVENDA</t>
  </si>
  <si>
    <t>EMBALAGENS MERCADORIA PARA REVENDA</t>
  </si>
  <si>
    <t>CUSTOS COM SERVIÇOS</t>
  </si>
  <si>
    <t>MÃO DE OBRA AVULSA</t>
  </si>
  <si>
    <t>MÃO DE OBRA VARIÁVEL</t>
  </si>
  <si>
    <t>FRETE DE COMPRA</t>
  </si>
  <si>
    <t>SERVIÇOS TERCEIRIZADOS</t>
  </si>
  <si>
    <t>CUSTOS COM FROTA</t>
  </si>
  <si>
    <t>MANUTENÇÃO DA FROTA</t>
  </si>
  <si>
    <t>COMBUSTÍVEL</t>
  </si>
  <si>
    <t>(-) DESPESAS COM VENDA</t>
  </si>
  <si>
    <t>COMISSÕES</t>
  </si>
  <si>
    <t>BONIFICAÇÃO POR META</t>
  </si>
  <si>
    <t>COMISSÃO VENDEDORES</t>
  </si>
  <si>
    <t>COMISSÃO REPRESENTANTES</t>
  </si>
  <si>
    <t>LOGÍSTICA DE VENDA</t>
  </si>
  <si>
    <t>EMBALAGENS DE VENDA</t>
  </si>
  <si>
    <t>FRETE DE ENTREGA</t>
  </si>
  <si>
    <t>LOGÍSTICA REVERSA (DEVOLUÇÕES)</t>
  </si>
  <si>
    <t>TAXAS MEIO DE PAGAMENTO</t>
  </si>
  <si>
    <t>TAXAS ANTECIPAÇÃO DE RECEBÍVEIS</t>
  </si>
  <si>
    <t>TAXAS GATEWAY/PLATAFORMAS</t>
  </si>
  <si>
    <t>TAXAS MAQUININHA DE CARTÃO</t>
  </si>
  <si>
    <t>TAXAS MARKETPLACE</t>
  </si>
  <si>
    <t>TAXAS ADS INTERNOS MARKETPLACE</t>
  </si>
  <si>
    <t>TAXAS ENVIO MARKETPLACE</t>
  </si>
  <si>
    <t>(=) MARGEM DE CONTRIBUIÇÃO</t>
  </si>
  <si>
    <t>(-) CUSTOS FIXOS</t>
  </si>
  <si>
    <t>CUSTOS COM PESSOAL OPERACIONAL</t>
  </si>
  <si>
    <t>13º SALARIO PRODUÇÃO</t>
  </si>
  <si>
    <t>ALIMENTAÇÃO PRODUÇÃO</t>
  </si>
  <si>
    <t>CONTRIBUIÇÃO SINDICAL PRODUÇÃO</t>
  </si>
  <si>
    <t>EPI</t>
  </si>
  <si>
    <t>FÉRIAS PRODUÇÃO</t>
  </si>
  <si>
    <t>FGTS PRODUÇÃO</t>
  </si>
  <si>
    <t>HORAS EXTRAS PRODUÇÃO</t>
  </si>
  <si>
    <t>INSS PRODUÇÃO</t>
  </si>
  <si>
    <t>RECISÃO PRODUÇÃO</t>
  </si>
  <si>
    <t>SALÁRIOS PRODUÇÃO</t>
  </si>
  <si>
    <t>VALE TRANSPORTE PRODUÇÃO</t>
  </si>
  <si>
    <t>OUTROS CUSTOS OPERACIONAIS</t>
  </si>
  <si>
    <t>DEPRECIAÇÃO</t>
  </si>
  <si>
    <t>MANUTENÇÃO DE MÁQUINAS/EQUIPAMENTOS</t>
  </si>
  <si>
    <t>(-) DESPESAS FIXAS</t>
  </si>
  <si>
    <t>DESPESAS COM PESSOAL ADMINISTRATIVO</t>
  </si>
  <si>
    <t>13º SALARIO ADMINISTRATIVO</t>
  </si>
  <si>
    <t>ALIMENTAÇÃO ADMINISTRATIVOS</t>
  </si>
  <si>
    <t>BOLSA ESTAGIÁRIOS</t>
  </si>
  <si>
    <t>CONTRIBUIÇÃO SINDICAL ADMINISTRATIVO</t>
  </si>
  <si>
    <t>FÉRIAS ADMINISTRATIVO</t>
  </si>
  <si>
    <t>FGTS ADMINISTRATIVO</t>
  </si>
  <si>
    <t>INSS/IRPF ADMINISTRATIVO</t>
  </si>
  <si>
    <t>RECISÃO ADMINISTRATIVO</t>
  </si>
  <si>
    <t>SALÁRIOS ADMINISTRATIVO</t>
  </si>
  <si>
    <t>VALE TRANSPORTE ADMINISTRATIVO</t>
  </si>
  <si>
    <t>DESPESAS ADMINISTRATIVAS</t>
  </si>
  <si>
    <t>ÁGUA</t>
  </si>
  <si>
    <t>ALUGUEL</t>
  </si>
  <si>
    <t>ASSESORIA/CONSULTORIA</t>
  </si>
  <si>
    <t>ASSINATURAS</t>
  </si>
  <si>
    <t>BENS DURÁVEIS DE PEQUENO VALOR</t>
  </si>
  <si>
    <t>EVENTOS E CONFRATERNIZAÇÕES</t>
  </si>
  <si>
    <t>CONTABILIDADE</t>
  </si>
  <si>
    <t>DESPESA COM VEÍCULOS</t>
  </si>
  <si>
    <t>ENERGIA</t>
  </si>
  <si>
    <t>INTERNET</t>
  </si>
  <si>
    <t>LIMPEZA E CONSERVAÇÃO</t>
  </si>
  <si>
    <t>MANUTENÇÃO PREDIAL</t>
  </si>
  <si>
    <t>MATERIAIS DE ESCRITORIO</t>
  </si>
  <si>
    <t>PLANO DE SAUDE/ODONTO</t>
  </si>
  <si>
    <t>PREJUÍZOS</t>
  </si>
  <si>
    <t>PRESTADORES DE SERVIÇOS PJ</t>
  </si>
  <si>
    <t>PRO-LABORE</t>
  </si>
  <si>
    <t>SEGURANÇA E SAÚDE DO TRABALHADOR - SST</t>
  </si>
  <si>
    <t>SEGUROS</t>
  </si>
  <si>
    <t>SISTEMA</t>
  </si>
  <si>
    <t>TELEFONE</t>
  </si>
  <si>
    <t>TRANSPORTE/DESLOCAMENTO</t>
  </si>
  <si>
    <t>TREINAMENTOS/CAPACITAÇÕES/CURSOS</t>
  </si>
  <si>
    <t>UNIFORMES</t>
  </si>
  <si>
    <t>DESPESAS COMERCIAIS</t>
  </si>
  <si>
    <t>MARKETING</t>
  </si>
  <si>
    <t>TRAFEGO PAGO</t>
  </si>
  <si>
    <t>FERRAMENTA CRM</t>
  </si>
  <si>
    <t>(=) LUCRO/PREJUÍZO OPERACIONAL</t>
  </si>
  <si>
    <t>(+/-) RESULTADO FINANCEIRO</t>
  </si>
  <si>
    <t>(+) RECEITAS FINANCEIRAS</t>
  </si>
  <si>
    <t>DESCONTOS OBTIDOS</t>
  </si>
  <si>
    <t>JUROS E MULTAS ATIVAS</t>
  </si>
  <si>
    <t>RENDIMENTO DE APLICAÇÃO</t>
  </si>
  <si>
    <t>(-) DESPESAS FINANCEIRAS</t>
  </si>
  <si>
    <t>IOF</t>
  </si>
  <si>
    <t>JUROS EMPRESTIMOS E FINANCIAMENTOS</t>
  </si>
  <si>
    <t>JUROS E MULTAS POR ATRASO</t>
  </si>
  <si>
    <t>TARIFAS BANCÁRIAS</t>
  </si>
  <si>
    <t>(=) RESULTADO LIQUIDO ANTES DOS IMPOSTOS</t>
  </si>
  <si>
    <t>(-) IMPOSTOS SOBRE LUCRO</t>
  </si>
  <si>
    <t>IMPOSTO DE RENDA</t>
  </si>
  <si>
    <t>IRPJ</t>
  </si>
  <si>
    <t>CONTRIBUIÇÃO SOCIAL</t>
  </si>
  <si>
    <t>CSLL</t>
  </si>
  <si>
    <t>(=) RESULTADO LÍQUIDO</t>
  </si>
  <si>
    <t>(+/-) RESULTADO NÃO OPERACIONAL</t>
  </si>
  <si>
    <t>(+) RECEITAS NÃO OPERACIONAIS</t>
  </si>
  <si>
    <t>APORTE DE SÓCIOS</t>
  </si>
  <si>
    <t>RECEBIMENTO DE EMPRÉSTIMOS</t>
  </si>
  <si>
    <t>RESGATE DE APLICAÇÃO</t>
  </si>
  <si>
    <t>VENDA DE IMOBILIZADO</t>
  </si>
  <si>
    <t>(-) DESPESAS NÃO OPERACIONAIS</t>
  </si>
  <si>
    <t>EMPRÉSTIMOS</t>
  </si>
  <si>
    <t>FINANCIAMENTOS</t>
  </si>
  <si>
    <t>PARCELAMENTOS</t>
  </si>
  <si>
    <t>(-) INVESTIMENTOS</t>
  </si>
  <si>
    <t>APLICAÇÃO BANCÁRIA</t>
  </si>
  <si>
    <t>COMPRA DE IMOBILIZADOS</t>
  </si>
  <si>
    <t>REFORMAS</t>
  </si>
  <si>
    <t>(-) RETIRADAS DE SÓCIOS</t>
  </si>
  <si>
    <t>SÓCIO 1</t>
  </si>
  <si>
    <t>SÓCIO 2</t>
  </si>
  <si>
    <t>(=) RESULTADO MÊS</t>
  </si>
  <si>
    <t>BALANÇO PATRIMONIAL</t>
  </si>
  <si>
    <t>A T I V O</t>
  </si>
  <si>
    <t>ATIVO CIRCULANTE</t>
  </si>
  <si>
    <t>Banco/Caixa</t>
  </si>
  <si>
    <t>Contas a Receber</t>
  </si>
  <si>
    <t>ATIVO NÃO CIRCULANTE</t>
  </si>
  <si>
    <t>Ativo Realizável a Longo Prazo</t>
  </si>
  <si>
    <t>Ativo 1</t>
  </si>
  <si>
    <t>Investimentos</t>
  </si>
  <si>
    <t>Investimento 1</t>
  </si>
  <si>
    <t xml:space="preserve">Imobilizado </t>
  </si>
  <si>
    <t>Terrenos</t>
  </si>
  <si>
    <t>Edificações</t>
  </si>
  <si>
    <t>Veículos</t>
  </si>
  <si>
    <t>Móveis e Utensílios</t>
  </si>
  <si>
    <t>Máquinas e Equipamentos</t>
  </si>
  <si>
    <t>Computadores</t>
  </si>
  <si>
    <t>(-) Depreciação Acumulada</t>
  </si>
  <si>
    <t>Intangível</t>
  </si>
  <si>
    <t>Software</t>
  </si>
  <si>
    <t>(-) Amortização Acumulada</t>
  </si>
  <si>
    <t>TOTAL  DO  ATIVO</t>
  </si>
  <si>
    <t>P A S S I V O</t>
  </si>
  <si>
    <t>PASSIVO CIRCULANTE</t>
  </si>
  <si>
    <t>Tributos a Recolher</t>
  </si>
  <si>
    <t>Provisão de Férias</t>
  </si>
  <si>
    <t>Salários a Pagar</t>
  </si>
  <si>
    <t>Contas a Pagar</t>
  </si>
  <si>
    <t>Outros ajustes</t>
  </si>
  <si>
    <t>PASSIVO NÃO CIRCULANTE</t>
  </si>
  <si>
    <t>Contas a Pagar LP</t>
  </si>
  <si>
    <t>Empréstimo/Financiamento</t>
  </si>
  <si>
    <t>PATRIMÔNIO LÍQUIDO</t>
  </si>
  <si>
    <t>Capital Social</t>
  </si>
  <si>
    <t>Lucro/Prejuízo</t>
  </si>
  <si>
    <t>TOTAL  DO  PASSIVO</t>
  </si>
  <si>
    <t>INDICADORES FINANCEIROS</t>
  </si>
  <si>
    <t>Aba automática conectada às abas FC, DRE e BP. Preencha os relatórios-base e os indicadores serão atualizados.</t>
  </si>
  <si>
    <t>Indicadores Mensais (DRE e Fluxo de Caixa)</t>
  </si>
  <si>
    <t>Indicador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</si>
  <si>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</si>
  <si>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</si>
  <si>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</si>
  <si>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</si>
  <si>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</si>
  <si>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</si>
  <si>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</si>
  <si>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</si>
  <si>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</si>
  <si>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</si>
  <si>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</si>
  <si>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</si>
  <si>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</si>
  <si>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Média</t>
  </si>
  <si>
    <t>Receita Líquida</t>
  </si>
  <si>
    <t>Margem Bruta</t>
  </si>
  <si>
    <t>Margem de Contribuição</t>
  </si>
  <si>
    <t>Margem Operacional</t>
  </si>
  <si>
    <t>Margem Líquida</t>
  </si>
  <si>
    <t>Geração de Caixa</t>
  </si>
  <si>
    <t>Conversão Lucro em Caixa</t>
  </si>
  <si>
    <t>Saldo Final de Caixa</t>
  </si>
  <si>
    <t>Indicadores Patrimoniais (Balanço Patrimonial)</t>
  </si>
  <si>
    <t>2023</t>
  </si>
  <si>
    <t>2024</t>
  </si>
  <si>
    <t>2025</t>
  </si>
  <si>
    <t>Fórmula</t>
  </si>
  <si>
    <t>Leitura</t>
  </si>
  <si>
    <t>Liquidez Corrente</t>
  </si>
  <si>
    <t>AC / PC</t>
  </si>
  <si>
    <t>&gt; 1,00 tende a indicar folga de curto prazo</t>
  </si>
  <si>
    <t>Capital de Giro</t>
  </si>
  <si>
    <t>AC - PC</t>
  </si>
  <si>
    <t>positivo indica estrutura de curto prazo mais saudável</t>
  </si>
  <si>
    <t>Endividamento Geral</t>
  </si>
  <si>
    <t>(PC + PNC) / Ativo Total</t>
  </si>
  <si>
    <t>quanto menor, menor dependência de capital de terceiros</t>
  </si>
  <si>
    <t>Composição do Endividamento</t>
  </si>
  <si>
    <t>PC / Dívida Total</t>
  </si>
  <si>
    <t>mostra peso da dívida de curto prazo</t>
  </si>
  <si>
    <t>Dívida / Patrimônio Líquido</t>
  </si>
  <si>
    <t>Dívida Total / PL</t>
  </si>
  <si>
    <t>mede alavancagem financeira</t>
  </si>
  <si>
    <t>Liquidez Imediata</t>
  </si>
  <si>
    <t>Caixa / PC</t>
  </si>
  <si>
    <t>mede capacidade imediata de pagamento</t>
  </si>
  <si>
    <t>Imobilização do PL</t>
  </si>
  <si>
    <t>Ativo Não Circulante / PL</t>
  </si>
  <si>
    <t>mostra quanto do PL está preso no longo prazo</t>
  </si>
  <si>
    <t>Indicadores Integrados (Ano Corrente)</t>
  </si>
  <si>
    <t>Valor</t>
  </si>
  <si>
    <t>Base</t>
  </si>
  <si>
    <t>Interpretação</t>
  </si>
  <si>
    <t>Observação</t>
  </si>
  <si>
    <t>ROE</t>
  </si>
  <si>
    <t>Resultado do Mês Total / PL 2025</t>
  </si>
  <si>
    <t>DRE / FC / BP</t>
  </si>
  <si>
    <t>rentabilidade do capital próprio</t>
  </si>
  <si>
    <t>usa DRE total e PL do BP 2025</t>
  </si>
  <si>
    <t>Margem Líquida Total</t>
  </si>
  <si>
    <t>Resultado do Mês Total / Receita Líquida Total</t>
  </si>
  <si>
    <t>mede ganho final sobre vendas</t>
  </si>
  <si>
    <t>ano corrente</t>
  </si>
  <si>
    <t>Conversão de Lucro em Caixa</t>
  </si>
  <si>
    <t>Geração de Caixa / Lucro Líquido</t>
  </si>
  <si>
    <t>compara lucro contábil e caixa gerado</t>
  </si>
  <si>
    <t>Caixa Final / Receita</t>
  </si>
  <si>
    <t>Saldo Final de Caixa / Receita Líquida</t>
  </si>
  <si>
    <t>mede liquidez acumulada ao fim do período</t>
  </si>
  <si>
    <t>Capital de Giro 2025</t>
  </si>
  <si>
    <t>AC 2025 - PC 2025</t>
  </si>
  <si>
    <t>folga financeira de curto prazo</t>
  </si>
  <si>
    <t>extraído do BP</t>
  </si>
  <si>
    <t>Observação: os indicadores foram estruturados para atualizar automaticamente a partir das abas FC, DRE e BP. Se desejar, na próxima etapa posso criar um painel executivo com semáforos e gráficos.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</si>
</sst>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#,##0.00_ ;[Red]\-#,##0.00\ "/>
    <numFmt numFmtId="167" formatCode="[$-416]d\-mmm;@"/>
    <numFmt numFmtId="168" formatCode="0.0%"/>
    <numFmt numFmtId="169" formatCode="_-\R\$\ * #,##0.00_-;[Red]\-\R\$\ * \(#,##0.00\);_-\R\$\ * &quot;-&quot;??_-;_-@_-"/>
    <numFmt numFmtId="170" formatCode="0.0%;[Red]\(0.0%\)"/>
    <numFmt numFmtId="171" formatCode="0.00\x;[Red]\(0.00\x\)"/>
  </numFmts>
  <fonts count="41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11"/>
      <name val="Arial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0"/>
      <color indexed="8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1"/>
      <color rgb="FF44546A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b/>
      <sz val="8"/>
      <color theme="0"/>
      <name val="Calibri"/>
      <family val="2"/>
    </font>
    <font>
      <b/>
      <i/>
      <sz val="8"/>
      <color theme="0"/>
      <name val="Calibri"/>
      <family val="2"/>
    </font>
    <font>
      <b/>
      <i/>
      <sz val="8"/>
      <color indexed="8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4"/>
      <color rgb="FFFFFFFF"/>
      <name val="Calibri"/>
      <family val="2"/>
    </font>
    <font>
      <i/>
      <sz val="10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4B5563"/>
      <name val="Calibri"/>
      <family val="2"/>
    </font>
    <font>
      <b/>
      <sz val="10"/>
      <color rgb="FF000000"/>
      <name val="Calibri"/>
      <family val="2"/>
    </font>
    <font>
      <i/>
      <sz val="1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5"/>
      </patternFill>
    </fill>
    <fill>
      <patternFill patternType="solid">
        <fgColor rgb="FF44546A"/>
      </patternFill>
    </fill>
    <fill>
      <patternFill patternType="solid">
        <fgColor theme="9"/>
      </patternFill>
    </fill>
    <fill>
      <patternFill patternType="solid">
        <fgColor theme="2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F9F9F9"/>
      </patternFill>
    </fill>
    <fill>
      <patternFill patternType="solid">
        <fgColor rgb="FFF7F7F7"/>
      </patternFill>
    </fill>
    <fill>
      <patternFill patternType="solid">
        <fgColor rgb="FF0B3B6F"/>
      </patternFill>
    </fill>
    <fill>
      <patternFill patternType="solid">
        <fgColor rgb="FFEEF5FB"/>
      </patternFill>
    </fill>
    <fill>
      <patternFill patternType="solid">
        <fgColor rgb="FF44546A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FF2CC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 style="thin">
        <color theme="0" tint="-0.149906918546098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 style="thin">
        <color theme="0" tint="-0.14990691854609822"/>
      </bottom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rgb="FFD9D9D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rgb="FF0B3B6F"/>
      </top>
      <bottom style="medium">
        <color rgb="FF0B3B6F"/>
      </bottom>
      <diagonal/>
    </border>
    <border>
      <left/>
      <right/>
      <top/>
      <bottom style="thin">
        <color rgb="FFD9D9D9"/>
      </bottom>
      <diagonal/>
    </border>
  </borders>
  <cellStyleXfs count="9">
    <xf numFmtId="0" fontId="0" fillId="0" borderId="1"/>
    <xf numFmtId="0" fontId="2" fillId="0" borderId="1"/>
    <xf numFmtId="0" fontId="3" fillId="0" borderId="1"/>
    <xf numFmtId="0" fontId="5" fillId="0" borderId="1"/>
    <xf numFmtId="0" fontId="12" fillId="0" borderId="1"/>
    <xf numFmtId="0" fontId="1" fillId="0" borderId="1"/>
    <xf numFmtId="164" fontId="12" fillId="0" borderId="1"/>
    <xf numFmtId="9" fontId="12" fillId="0" borderId="1"/>
    <xf numFmtId="0" fontId="1" fillId="0" borderId="1"/>
  </cellStyleXfs>
  <cellXfs count="113">
    <xf numFmtId="0" fontId="0" fillId="0" borderId="0" xfId="0" applyBorder="1"/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0" fontId="4" fillId="0" borderId="0" xfId="0" applyFont="1" applyBorder="1"/>
    <xf numFmtId="0" fontId="4" fillId="0" borderId="0" xfId="0" applyFont="1" applyBorder="1" applyAlignment="1">
      <alignment horizontal="left" vertical="center"/>
    </xf>
    <xf numFmtId="165" fontId="4" fillId="0" borderId="0" xfId="0" applyNumberFormat="1" applyFont="1" applyBorder="1" applyAlignment="1">
      <alignment horizontal="left" vertical="center"/>
    </xf>
    <xf numFmtId="0" fontId="15" fillId="5" borderId="3" xfId="0" applyFont="1" applyFill="1" applyBorder="1" applyAlignment="1">
      <alignment horizontal="left" vertical="center"/>
    </xf>
    <xf numFmtId="164" fontId="15" fillId="5" borderId="3" xfId="0" applyNumberFormat="1" applyFont="1" applyFill="1" applyBorder="1" applyAlignment="1">
      <alignment horizontal="center" vertical="center"/>
    </xf>
    <xf numFmtId="164" fontId="4" fillId="0" borderId="0" xfId="0" applyNumberFormat="1" applyFont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164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16" fillId="6" borderId="3" xfId="0" applyFont="1" applyFill="1" applyBorder="1" applyAlignment="1">
      <alignment horizontal="left" vertical="center"/>
    </xf>
    <xf numFmtId="164" fontId="16" fillId="6" borderId="3" xfId="0" applyNumberFormat="1" applyFont="1" applyFill="1" applyBorder="1" applyAlignment="1">
      <alignment horizontal="center" vertical="center"/>
    </xf>
    <xf numFmtId="164" fontId="16" fillId="0" borderId="3" xfId="0" applyNumberFormat="1" applyFont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64" fontId="13" fillId="3" borderId="5" xfId="0" applyNumberFormat="1" applyFont="1" applyFill="1" applyBorder="1" applyAlignment="1">
      <alignment horizontal="center" vertical="center"/>
    </xf>
    <xf numFmtId="164" fontId="13" fillId="3" borderId="6" xfId="0" applyNumberFormat="1" applyFont="1" applyFill="1" applyBorder="1" applyAlignment="1">
      <alignment horizontal="center" vertical="center"/>
    </xf>
    <xf numFmtId="164" fontId="13" fillId="3" borderId="3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left" vertical="center"/>
    </xf>
    <xf numFmtId="164" fontId="18" fillId="3" borderId="3" xfId="0" applyNumberFormat="1" applyFont="1" applyFill="1" applyBorder="1" applyAlignment="1">
      <alignment horizontal="center" vertical="center"/>
    </xf>
    <xf numFmtId="0" fontId="20" fillId="0" borderId="0" xfId="0" applyFont="1" applyBorder="1"/>
    <xf numFmtId="164" fontId="4" fillId="0" borderId="0" xfId="0" applyNumberFormat="1" applyFont="1" applyBorder="1"/>
    <xf numFmtId="0" fontId="14" fillId="3" borderId="3" xfId="0" applyFont="1" applyFill="1" applyBorder="1"/>
    <xf numFmtId="164" fontId="14" fillId="3" borderId="3" xfId="0" applyNumberFormat="1" applyFont="1" applyFill="1" applyBorder="1"/>
    <xf numFmtId="0" fontId="9" fillId="4" borderId="3" xfId="0" applyFont="1" applyFill="1" applyBorder="1" applyAlignment="1">
      <alignment horizontal="left" vertical="center"/>
    </xf>
    <xf numFmtId="164" fontId="9" fillId="4" borderId="3" xfId="0" applyNumberFormat="1" applyFont="1" applyFill="1" applyBorder="1"/>
    <xf numFmtId="0" fontId="4" fillId="0" borderId="3" xfId="0" applyFont="1" applyBorder="1" applyAlignment="1">
      <alignment horizontal="left"/>
    </xf>
    <xf numFmtId="164" fontId="4" fillId="0" borderId="3" xfId="0" applyNumberFormat="1" applyFont="1" applyBorder="1"/>
    <xf numFmtId="0" fontId="18" fillId="3" borderId="8" xfId="0" applyFont="1" applyFill="1" applyBorder="1" applyAlignment="1">
      <alignment horizontal="center"/>
    </xf>
    <xf numFmtId="164" fontId="14" fillId="3" borderId="10" xfId="0" applyNumberFormat="1" applyFont="1" applyFill="1" applyBorder="1"/>
    <xf numFmtId="164" fontId="9" fillId="4" borderId="10" xfId="0" applyNumberFormat="1" applyFont="1" applyFill="1" applyBorder="1"/>
    <xf numFmtId="164" fontId="9" fillId="0" borderId="10" xfId="0" applyNumberFormat="1" applyFont="1" applyBorder="1"/>
    <xf numFmtId="0" fontId="21" fillId="0" borderId="1" xfId="0" applyFont="1"/>
    <xf numFmtId="4" fontId="21" fillId="0" borderId="1" xfId="0" applyNumberFormat="1" applyFont="1" applyAlignment="1">
      <alignment horizontal="center"/>
    </xf>
    <xf numFmtId="4" fontId="22" fillId="0" borderId="1" xfId="0" applyNumberFormat="1" applyFont="1" applyAlignment="1">
      <alignment horizontal="center"/>
    </xf>
    <xf numFmtId="0" fontId="23" fillId="0" borderId="1" xfId="0" applyFont="1"/>
    <xf numFmtId="4" fontId="24" fillId="3" borderId="11" xfId="0" applyNumberFormat="1" applyFont="1" applyFill="1" applyBorder="1" applyAlignment="1">
      <alignment horizontal="center"/>
    </xf>
    <xf numFmtId="167" fontId="7" fillId="3" borderId="12" xfId="0" applyNumberFormat="1" applyFont="1" applyFill="1" applyBorder="1" applyAlignment="1">
      <alignment horizontal="center"/>
    </xf>
    <xf numFmtId="167" fontId="7" fillId="3" borderId="13" xfId="0" applyNumberFormat="1" applyFont="1" applyFill="1" applyBorder="1" applyAlignment="1">
      <alignment horizontal="center"/>
    </xf>
    <xf numFmtId="0" fontId="8" fillId="0" borderId="1" xfId="0" applyFont="1"/>
    <xf numFmtId="4" fontId="6" fillId="8" borderId="14" xfId="0" applyNumberFormat="1" applyFont="1" applyFill="1" applyBorder="1" applyAlignment="1">
      <alignment horizontal="left"/>
    </xf>
    <xf numFmtId="43" fontId="6" fillId="8" borderId="15" xfId="0" applyNumberFormat="1" applyFont="1" applyFill="1" applyBorder="1" applyAlignment="1">
      <alignment horizontal="center"/>
    </xf>
    <xf numFmtId="4" fontId="25" fillId="0" borderId="14" xfId="0" applyNumberFormat="1" applyFont="1" applyBorder="1" applyAlignment="1">
      <alignment horizontal="left"/>
    </xf>
    <xf numFmtId="43" fontId="5" fillId="0" borderId="15" xfId="0" applyNumberFormat="1" applyFont="1" applyBorder="1" applyAlignment="1">
      <alignment horizontal="center"/>
    </xf>
    <xf numFmtId="43" fontId="5" fillId="7" borderId="16" xfId="0" applyNumberFormat="1" applyFont="1" applyFill="1" applyBorder="1" applyAlignment="1">
      <alignment horizontal="center"/>
    </xf>
    <xf numFmtId="43" fontId="26" fillId="0" borderId="15" xfId="0" applyNumberFormat="1" applyFont="1" applyBorder="1" applyAlignment="1">
      <alignment horizontal="center"/>
    </xf>
    <xf numFmtId="0" fontId="25" fillId="0" borderId="14" xfId="0" applyFont="1" applyBorder="1"/>
    <xf numFmtId="4" fontId="25" fillId="0" borderId="15" xfId="0" applyNumberFormat="1" applyFont="1" applyBorder="1" applyAlignment="1">
      <alignment horizontal="center"/>
    </xf>
    <xf numFmtId="4" fontId="26" fillId="0" borderId="15" xfId="0" applyNumberFormat="1" applyFont="1" applyBorder="1" applyAlignment="1">
      <alignment horizontal="center"/>
    </xf>
    <xf numFmtId="0" fontId="25" fillId="0" borderId="15" xfId="0" applyFont="1" applyBorder="1"/>
    <xf numFmtId="4" fontId="6" fillId="2" borderId="14" xfId="0" applyNumberFormat="1" applyFont="1" applyFill="1" applyBorder="1" applyAlignment="1">
      <alignment horizontal="left"/>
    </xf>
    <xf numFmtId="43" fontId="6" fillId="2" borderId="15" xfId="0" applyNumberFormat="1" applyFont="1" applyFill="1" applyBorder="1" applyAlignment="1">
      <alignment horizontal="center"/>
    </xf>
    <xf numFmtId="0" fontId="5" fillId="0" borderId="14" xfId="0" applyFont="1" applyBorder="1" applyAlignment="1">
      <alignment horizontal="left"/>
    </xf>
    <xf numFmtId="0" fontId="25" fillId="0" borderId="14" xfId="0" applyFont="1" applyBorder="1" applyAlignment="1">
      <alignment horizontal="left"/>
    </xf>
    <xf numFmtId="43" fontId="25" fillId="0" borderId="15" xfId="0" applyNumberFormat="1" applyFont="1" applyBorder="1" applyAlignment="1">
      <alignment horizontal="center"/>
    </xf>
    <xf numFmtId="4" fontId="5" fillId="0" borderId="14" xfId="0" applyNumberFormat="1" applyFont="1" applyBorder="1" applyAlignment="1">
      <alignment horizontal="left"/>
    </xf>
    <xf numFmtId="4" fontId="5" fillId="0" borderId="15" xfId="0" applyNumberFormat="1" applyFont="1" applyBorder="1" applyAlignment="1">
      <alignment horizontal="center"/>
    </xf>
    <xf numFmtId="4" fontId="11" fillId="2" borderId="14" xfId="0" applyNumberFormat="1" applyFont="1" applyFill="1" applyBorder="1" applyAlignment="1">
      <alignment horizontal="left"/>
    </xf>
    <xf numFmtId="43" fontId="11" fillId="2" borderId="15" xfId="0" applyNumberFormat="1" applyFont="1" applyFill="1" applyBorder="1" applyAlignment="1">
      <alignment horizontal="center"/>
    </xf>
    <xf numFmtId="4" fontId="6" fillId="0" borderId="14" xfId="0" applyNumberFormat="1" applyFont="1" applyBorder="1" applyAlignment="1">
      <alignment horizontal="left"/>
    </xf>
    <xf numFmtId="43" fontId="6" fillId="0" borderId="15" xfId="0" applyNumberFormat="1" applyFont="1" applyBorder="1" applyAlignment="1">
      <alignment horizontal="center"/>
    </xf>
    <xf numFmtId="4" fontId="6" fillId="2" borderId="17" xfId="0" applyNumberFormat="1" applyFont="1" applyFill="1" applyBorder="1" applyAlignment="1">
      <alignment horizontal="left"/>
    </xf>
    <xf numFmtId="43" fontId="6" fillId="2" borderId="18" xfId="0" applyNumberFormat="1" applyFont="1" applyFill="1" applyBorder="1" applyAlignment="1">
      <alignment horizontal="center"/>
    </xf>
    <xf numFmtId="4" fontId="6" fillId="6" borderId="14" xfId="0" applyNumberFormat="1" applyFont="1" applyFill="1" applyBorder="1" applyAlignment="1">
      <alignment horizontal="left"/>
    </xf>
    <xf numFmtId="43" fontId="6" fillId="6" borderId="15" xfId="0" applyNumberFormat="1" applyFont="1" applyFill="1" applyBorder="1" applyAlignment="1">
      <alignment horizontal="center"/>
    </xf>
    <xf numFmtId="10" fontId="27" fillId="3" borderId="3" xfId="0" applyNumberFormat="1" applyFont="1" applyFill="1" applyBorder="1" applyAlignment="1">
      <alignment horizontal="center"/>
    </xf>
    <xf numFmtId="164" fontId="9" fillId="0" borderId="3" xfId="0" applyNumberFormat="1" applyFont="1" applyBorder="1"/>
    <xf numFmtId="0" fontId="30" fillId="4" borderId="3" xfId="0" applyFont="1" applyFill="1" applyBorder="1" applyAlignment="1">
      <alignment horizontal="left" vertical="center"/>
    </xf>
    <xf numFmtId="0" fontId="31" fillId="0" borderId="3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29" fillId="0" borderId="0" xfId="0" applyFont="1" applyBorder="1" applyAlignment="1">
      <alignment horizontal="center"/>
    </xf>
    <xf numFmtId="168" fontId="28" fillId="3" borderId="10" xfId="0" applyNumberFormat="1" applyFont="1" applyFill="1" applyBorder="1" applyAlignment="1">
      <alignment horizontal="center"/>
    </xf>
    <xf numFmtId="168" fontId="29" fillId="4" borderId="10" xfId="0" applyNumberFormat="1" applyFont="1" applyFill="1" applyBorder="1" applyAlignment="1">
      <alignment horizontal="center"/>
    </xf>
    <xf numFmtId="168" fontId="29" fillId="0" borderId="10" xfId="0" applyNumberFormat="1" applyFont="1" applyBorder="1" applyAlignment="1">
      <alignment horizontal="center"/>
    </xf>
    <xf numFmtId="0" fontId="35" fillId="11" borderId="20" xfId="0" applyFont="1" applyFill="1" applyBorder="1" applyAlignment="1">
      <alignment horizontal="center" vertical="center"/>
    </xf>
    <xf numFmtId="0" fontId="36" fillId="12" borderId="21" xfId="0" applyFont="1" applyFill="1" applyBorder="1" applyAlignment="1">
      <alignment horizontal="left" vertical="center"/>
    </xf>
    <xf numFmtId="169" fontId="37" fillId="12" borderId="21" xfId="0" applyNumberFormat="1" applyFont="1" applyFill="1" applyBorder="1" applyAlignment="1">
      <alignment horizontal="right" vertical="center"/>
    </xf>
    <xf numFmtId="0" fontId="36" fillId="0" borderId="21" xfId="0" applyFont="1" applyBorder="1" applyAlignment="1">
      <alignment horizontal="left" vertical="center"/>
    </xf>
    <xf numFmtId="170" fontId="37" fillId="0" borderId="21" xfId="0" applyNumberFormat="1" applyFont="1" applyBorder="1" applyAlignment="1">
      <alignment horizontal="right" vertical="center"/>
    </xf>
    <xf numFmtId="170" fontId="37" fillId="12" borderId="21" xfId="0" applyNumberFormat="1" applyFont="1" applyFill="1" applyBorder="1" applyAlignment="1">
      <alignment horizontal="right" vertical="center"/>
    </xf>
    <xf numFmtId="169" fontId="37" fillId="0" borderId="21" xfId="0" applyNumberFormat="1" applyFont="1" applyBorder="1" applyAlignment="1">
      <alignment horizontal="right" vertical="center"/>
    </xf>
    <xf numFmtId="171" fontId="37" fillId="12" borderId="21" xfId="0" applyNumberFormat="1" applyFont="1" applyFill="1" applyBorder="1" applyAlignment="1">
      <alignment horizontal="right" vertical="center"/>
    </xf>
    <xf numFmtId="0" fontId="0" fillId="13" borderId="0" xfId="0" applyFill="1" applyBorder="1"/>
    <xf numFmtId="171" fontId="37" fillId="0" borderId="21" xfId="0" applyNumberFormat="1" applyFont="1" applyBorder="1" applyAlignment="1">
      <alignment horizontal="right" vertical="center"/>
    </xf>
    <xf numFmtId="0" fontId="39" fillId="10" borderId="21" xfId="0" applyFont="1" applyFill="1" applyBorder="1" applyAlignment="1">
      <alignment horizontal="left" vertical="center"/>
    </xf>
    <xf numFmtId="171" fontId="39" fillId="10" borderId="21" xfId="0" applyNumberFormat="1" applyFont="1" applyFill="1" applyBorder="1" applyAlignment="1">
      <alignment horizontal="right" vertical="center"/>
    </xf>
    <xf numFmtId="0" fontId="39" fillId="0" borderId="21" xfId="0" applyFont="1" applyBorder="1" applyAlignment="1">
      <alignment horizontal="left" vertical="center"/>
    </xf>
    <xf numFmtId="170" fontId="39" fillId="0" borderId="21" xfId="0" applyNumberFormat="1" applyFont="1" applyBorder="1" applyAlignment="1">
      <alignment horizontal="right" vertical="center"/>
    </xf>
    <xf numFmtId="169" fontId="39" fillId="10" borderId="21" xfId="0" applyNumberFormat="1" applyFont="1" applyFill="1" applyBorder="1" applyAlignment="1">
      <alignment horizontal="right" vertical="center"/>
    </xf>
    <xf numFmtId="171" fontId="37" fillId="0" borderId="21" xfId="0" applyNumberFormat="1" applyFont="1" applyBorder="1" applyAlignment="1">
      <alignment horizontal="left" vertical="center" wrapText="1"/>
    </xf>
    <xf numFmtId="0" fontId="38" fillId="0" borderId="21" xfId="0" applyFont="1" applyBorder="1" applyAlignment="1">
      <alignment horizontal="left" vertical="center" wrapText="1"/>
    </xf>
    <xf numFmtId="169" fontId="37" fillId="12" borderId="21" xfId="0" applyNumberFormat="1" applyFont="1" applyFill="1" applyBorder="1" applyAlignment="1">
      <alignment horizontal="left" vertical="center" wrapText="1"/>
    </xf>
    <xf numFmtId="0" fontId="38" fillId="12" borderId="21" xfId="0" applyFont="1" applyFill="1" applyBorder="1" applyAlignment="1">
      <alignment horizontal="left" vertical="center" wrapText="1"/>
    </xf>
    <xf numFmtId="170" fontId="37" fillId="0" borderId="21" xfId="0" applyNumberFormat="1" applyFont="1" applyBorder="1" applyAlignment="1">
      <alignment horizontal="left" vertical="center" wrapText="1"/>
    </xf>
    <xf numFmtId="170" fontId="37" fillId="12" borderId="21" xfId="0" applyNumberFormat="1" applyFont="1" applyFill="1" applyBorder="1" applyAlignment="1">
      <alignment horizontal="left" vertical="center" wrapText="1"/>
    </xf>
    <xf numFmtId="171" fontId="37" fillId="12" borderId="21" xfId="0" applyNumberFormat="1" applyFont="1" applyFill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35" fillId="11" borderId="20" xfId="0" applyFont="1" applyFill="1" applyBorder="1" applyAlignment="1">
      <alignment horizontal="left" vertical="center" wrapText="1"/>
    </xf>
    <xf numFmtId="0" fontId="38" fillId="10" borderId="21" xfId="0" applyFont="1" applyFill="1" applyBorder="1" applyAlignment="1">
      <alignment horizontal="left" vertical="center" wrapText="1"/>
    </xf>
    <xf numFmtId="0" fontId="34" fillId="9" borderId="0" xfId="0" applyFont="1" applyFill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33" fillId="10" borderId="0" xfId="0" applyFont="1" applyFill="1" applyBorder="1" applyAlignment="1">
      <alignment horizontal="left" vertical="center"/>
    </xf>
    <xf numFmtId="0" fontId="32" fillId="9" borderId="0" xfId="0" applyFont="1" applyFill="1" applyBorder="1" applyAlignment="1">
      <alignment horizontal="center" vertical="center"/>
    </xf>
    <xf numFmtId="0" fontId="40" fillId="14" borderId="0" xfId="0" applyFont="1" applyFill="1" applyBorder="1" applyAlignment="1">
      <alignment wrapText="1"/>
    </xf>
    <xf numFmtId="0" fontId="18" fillId="3" borderId="7" xfId="0" applyFont="1" applyFill="1" applyBorder="1"/>
    <xf numFmtId="164" fontId="18" fillId="3" borderId="7" xfId="0" applyNumberFormat="1" applyFont="1" applyFill="1" applyBorder="1" applyAlignment="1">
      <alignment horizontal="center"/>
    </xf>
    <xf numFmtId="9" fontId="27" fillId="3" borderId="7" xfId="0" applyNumberFormat="1" applyFont="1" applyFill="1" applyBorder="1" applyAlignment="1">
      <alignment horizontal="center"/>
    </xf>
  </cellXfs>
  <cellStyles count="9">
    <cellStyle name="Hiperlink" xfId="1" xr:uid="{00000000-0005-0000-0000-000001000000}"/>
    <cellStyle name="Hiperlink Visitado" xfId="2" xr:uid="{00000000-0005-0000-0000-000002000000}"/>
    <cellStyle name="Moeda" xfId="6" xr:uid="{00000000-0005-0000-0000-000006000000}"/>
    <cellStyle name="Normal" xfId="0" builtinId="0"/>
    <cellStyle name="Normal 2" xfId="3" xr:uid="{00000000-0005-0000-0000-000003000000}"/>
    <cellStyle name="Normal 3" xfId="5" xr:uid="{00000000-0005-0000-0000-000005000000}"/>
    <cellStyle name="Normal 4" xfId="4" xr:uid="{00000000-0005-0000-0000-000004000000}"/>
    <cellStyle name="Normal 5" xfId="8" xr:uid="{00000000-0005-0000-0000-000008000000}"/>
    <cellStyle name="Porcentagem" xfId="7" xr:uid="{00000000-0005-0000-0000-000007000000}"/>
  </cellStyles>
  <dxfs count="4">
    <dxf>
      <font>
        <b/>
      </font>
    </dxf>
    <dxf>
      <font>
        <b/>
        <color rgb="FF00B050"/>
      </font>
    </dxf>
    <dxf>
      <font>
        <b/>
        <color auto="1"/>
      </font>
    </dxf>
    <dxf>
      <font>
        <b/>
        <color rgb="FFC00000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ED7D31"/>
      <rgbColor rgb="FFFF944B"/>
      <rgbColor rgb="FF3F3F3F"/>
      <rgbColor rgb="FF44546A"/>
      <rgbColor rgb="FF0F5C95"/>
      <rgbColor rgb="FF7F7F7F"/>
      <rgbColor rgb="FFF2F2F2"/>
      <rgbColor rgb="FFFFF2CB"/>
      <rgbColor rgb="FF5B9BD5"/>
      <rgbColor rgb="FF7030A0"/>
      <rgbColor rgb="FFFF0000"/>
      <rgbColor rgb="FFFFFF00"/>
      <rgbColor rgb="FF595959"/>
      <rgbColor rgb="FFD8D8D8"/>
      <rgbColor rgb="FFBFBFBF"/>
      <rgbColor rgb="FF385623"/>
      <rgbColor rgb="FF2F5496"/>
      <rgbColor rgb="FFD0CECE"/>
      <rgbColor rgb="FFFFC000"/>
      <rgbColor rgb="FF999999"/>
      <rgbColor rgb="FF223962"/>
      <rgbColor rgb="FF44749F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CJAN" displayName="FCJAN" ref="A2:N135">
  <autoFilter ref="A2:N135" xr:uid="{00000000-0009-0000-0100-000001000000}"/>
  <tableColumns count="14">
    <tableColumn id="1" xr3:uid="{00000000-0010-0000-0000-000001000000}" name="-"/>
    <tableColumn id="2" xr3:uid="{00000000-0010-0000-0000-000002000000}" name="JANEIRO"/>
    <tableColumn id="3" xr3:uid="{00000000-0010-0000-0000-000003000000}" name="FEVEREIRO"/>
    <tableColumn id="4" xr3:uid="{00000000-0010-0000-0000-000004000000}" name="MARÇO"/>
    <tableColumn id="5" xr3:uid="{00000000-0010-0000-0000-000005000000}" name="ABRIL"/>
    <tableColumn id="6" xr3:uid="{00000000-0010-0000-0000-000006000000}" name="MAIO"/>
    <tableColumn id="7" xr3:uid="{00000000-0010-0000-0000-000007000000}" name="JUNHO"/>
    <tableColumn id="8" xr3:uid="{00000000-0010-0000-0000-000008000000}" name="JULHO"/>
    <tableColumn id="9" xr3:uid="{00000000-0010-0000-0000-000009000000}" name="AGOSTO"/>
    <tableColumn id="10" xr3:uid="{00000000-0010-0000-0000-00000A000000}" name="SETEMBRO"/>
    <tableColumn id="11" xr3:uid="{00000000-0010-0000-0000-00000B000000}" name="OUTUBRO"/>
    <tableColumn id="12" xr3:uid="{00000000-0010-0000-0000-00000C000000}" name="NOVEMBRO"/>
    <tableColumn id="13" xr3:uid="{00000000-0010-0000-0000-00000D000000}" name="DEZEMBRO"/>
    <tableColumn id="33" xr3:uid="{00000000-0010-0000-0000-000021000000}" name="TOTAL"/>
  </tableColumns>
  <tableStyleInfo name="Estilo de Tabela 1 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373" displayName="Tabela373" ref="A2:AM190" headerRowDxfId="0">
  <autoFilter ref="A2:AM190" xr:uid="{00000000-0009-0000-0100-000002000000}"/>
  <tableColumns count="39">
    <tableColumn id="15" xr3:uid="{00000000-0010-0000-0100-00000F000000}" name="DRE"/>
    <tableColumn id="2" xr3:uid="{00000000-0010-0000-0100-000002000000}" name="JANEIRO"/>
    <tableColumn id="19" xr3:uid="{00000000-0010-0000-0100-000013000000}" name="AV % JAN"/>
    <tableColumn id="3" xr3:uid="{00000000-0010-0000-0100-000003000000}" name="FEVEREIRO"/>
    <tableColumn id="23" xr3:uid="{00000000-0010-0000-0100-000017000000}" name="AV % FEV"/>
    <tableColumn id="22" xr3:uid="{00000000-0010-0000-0100-000016000000}" name="AH % FEV"/>
    <tableColumn id="4" xr3:uid="{00000000-0010-0000-0100-000004000000}" name="MARÇO"/>
    <tableColumn id="25" xr3:uid="{00000000-0010-0000-0100-000019000000}" name="AV % MAR"/>
    <tableColumn id="24" xr3:uid="{00000000-0010-0000-0100-000018000000}" name="AH % MAR"/>
    <tableColumn id="5" xr3:uid="{00000000-0010-0000-0100-000005000000}" name="ABRIL"/>
    <tableColumn id="27" xr3:uid="{00000000-0010-0000-0100-00001B000000}" name="AV % ABR"/>
    <tableColumn id="26" xr3:uid="{00000000-0010-0000-0100-00001A000000}" name="AH % ABR"/>
    <tableColumn id="6" xr3:uid="{00000000-0010-0000-0100-000006000000}" name="MAIO"/>
    <tableColumn id="29" xr3:uid="{00000000-0010-0000-0100-00001D000000}" name="AV % MAI"/>
    <tableColumn id="28" xr3:uid="{00000000-0010-0000-0100-00001C000000}" name="AH % MAI"/>
    <tableColumn id="7" xr3:uid="{00000000-0010-0000-0100-000007000000}" name="JUNHO"/>
    <tableColumn id="31" xr3:uid="{00000000-0010-0000-0100-00001F000000}" name="AV % JU "/>
    <tableColumn id="30" xr3:uid="{00000000-0010-0000-0100-00001E000000}" name="AH % JUN"/>
    <tableColumn id="8" xr3:uid="{00000000-0010-0000-0100-000008000000}" name="JULHO"/>
    <tableColumn id="33" xr3:uid="{00000000-0010-0000-0100-000021000000}" name="AV % JUL"/>
    <tableColumn id="32" xr3:uid="{00000000-0010-0000-0100-000020000000}" name="AH % JUL"/>
    <tableColumn id="9" xr3:uid="{00000000-0010-0000-0100-000009000000}" name="AGOSTO"/>
    <tableColumn id="35" xr3:uid="{00000000-0010-0000-0100-000023000000}" name="AV % AGO"/>
    <tableColumn id="34" xr3:uid="{00000000-0010-0000-0100-000022000000}" name="AH % AGO"/>
    <tableColumn id="10" xr3:uid="{00000000-0010-0000-0100-00000A000000}" name="SETEMBRO"/>
    <tableColumn id="40" xr3:uid="{00000000-0010-0000-0100-000028000000}" name="AV % SET"/>
    <tableColumn id="39" xr3:uid="{00000000-0010-0000-0100-000027000000}" name="AH % SET"/>
    <tableColumn id="11" xr3:uid="{00000000-0010-0000-0100-00000B000000}" name="OUTUBRO"/>
    <tableColumn id="38" xr3:uid="{00000000-0010-0000-0100-000026000000}" name="AV % OUT"/>
    <tableColumn id="37" xr3:uid="{00000000-0010-0000-0100-000025000000}" name="AH % OUT"/>
    <tableColumn id="12" xr3:uid="{00000000-0010-0000-0100-00000C000000}" name="NOVEMBRO"/>
    <tableColumn id="36" xr3:uid="{00000000-0010-0000-0100-000024000000}" name="AV % NOV"/>
    <tableColumn id="21" xr3:uid="{00000000-0010-0000-0100-000015000000}" name="AH % NOV"/>
    <tableColumn id="13" xr3:uid="{00000000-0010-0000-0100-00000D000000}" name="DEZEMBRO"/>
    <tableColumn id="20" xr3:uid="{00000000-0010-0000-0100-000014000000}" name="AV % DEZ"/>
    <tableColumn id="18" xr3:uid="{00000000-0010-0000-0100-000012000000}" name="AH % DEZ"/>
    <tableColumn id="14" xr3:uid="{00000000-0010-0000-0100-00000E000000}" name="TOTAL"/>
    <tableColumn id="17" xr3:uid="{00000000-0010-0000-0100-000011000000}" name="AV % TT"/>
    <tableColumn id="16" xr3:uid="{00000000-0010-0000-0100-000010000000}" name="MÉDIA"/>
  </tableColumns>
  <tableStyleInfo name="Estilo de Tabela 1 2" showFirstColumn="0" showLastColumn="0" showRowStripes="1" showColumnStripes="0"/>
</table>
</file>

<file path=xl/theme/theme1.xml><?xml version="1.0" encoding="utf-8"?>
<a:theme xmlns:a="http://schemas.openxmlformats.org/drawingml/2006/main" name="Corpex">
  <a:themeElements>
    <a:clrScheme name="Corpex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5581"/>
      </a:accent1>
      <a:accent2>
        <a:srgbClr val="46A5C1"/>
      </a:accent2>
      <a:accent3>
        <a:srgbClr val="78AEC2"/>
      </a:accent3>
      <a:accent4>
        <a:srgbClr val="C8C6C6"/>
      </a:accent4>
      <a:accent5>
        <a:srgbClr val="E7E6E6"/>
      </a:accent5>
      <a:accent6>
        <a:srgbClr val="F2F2F2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orpex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4999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5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37" sqref="C137"/>
    </sheetView>
  </sheetViews>
  <sheetFormatPr defaultColWidth="9.140625" defaultRowHeight="14.25" outlineLevelRow="1" x14ac:dyDescent="0.2"/>
  <cols>
    <col min="1" max="1" width="43.140625" style="36" customWidth="1"/>
    <col min="2" max="2" width="12.28515625" style="37" customWidth="1"/>
    <col min="3" max="5" width="12.28515625" style="38" customWidth="1"/>
    <col min="6" max="10" width="12.28515625" style="36" customWidth="1"/>
    <col min="11" max="13" width="12.28515625" style="38" customWidth="1"/>
    <col min="14" max="14" width="12.28515625" style="36" customWidth="1"/>
    <col min="15" max="15" width="9.140625" style="36" customWidth="1"/>
    <col min="16" max="16384" width="9.140625" style="36"/>
  </cols>
  <sheetData>
    <row r="1" spans="1:14" ht="15" customHeight="1" x14ac:dyDescent="0.25">
      <c r="A1" s="39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4" s="43" customFormat="1" ht="15" customHeight="1" x14ac:dyDescent="0.25">
      <c r="A2" s="40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41" t="s">
        <v>6</v>
      </c>
      <c r="G2" s="41" t="s">
        <v>7</v>
      </c>
      <c r="H2" s="41" t="s">
        <v>8</v>
      </c>
      <c r="I2" s="41" t="s">
        <v>9</v>
      </c>
      <c r="J2" s="41" t="s">
        <v>10</v>
      </c>
      <c r="K2" s="41" t="s">
        <v>11</v>
      </c>
      <c r="L2" s="41" t="s">
        <v>12</v>
      </c>
      <c r="M2" s="41" t="s">
        <v>13</v>
      </c>
      <c r="N2" s="42" t="s">
        <v>14</v>
      </c>
    </row>
    <row r="3" spans="1:14" s="43" customFormat="1" ht="15" customHeight="1" x14ac:dyDescent="0.25">
      <c r="A3" s="67" t="s">
        <v>15</v>
      </c>
      <c r="B3" s="68">
        <f t="shared" ref="B3:N3" si="0">B4+B13+B20</f>
        <v>0</v>
      </c>
      <c r="C3" s="68">
        <f t="shared" si="0"/>
        <v>0</v>
      </c>
      <c r="D3" s="68">
        <f t="shared" si="0"/>
        <v>0</v>
      </c>
      <c r="E3" s="68">
        <f t="shared" si="0"/>
        <v>0</v>
      </c>
      <c r="F3" s="68">
        <f t="shared" si="0"/>
        <v>0</v>
      </c>
      <c r="G3" s="68">
        <f t="shared" si="0"/>
        <v>0</v>
      </c>
      <c r="H3" s="68">
        <f t="shared" si="0"/>
        <v>0</v>
      </c>
      <c r="I3" s="68">
        <f t="shared" si="0"/>
        <v>0</v>
      </c>
      <c r="J3" s="68">
        <f t="shared" si="0"/>
        <v>0</v>
      </c>
      <c r="K3" s="68">
        <f t="shared" si="0"/>
        <v>0</v>
      </c>
      <c r="L3" s="68">
        <f t="shared" si="0"/>
        <v>0</v>
      </c>
      <c r="M3" s="68">
        <f t="shared" si="0"/>
        <v>0</v>
      </c>
      <c r="N3" s="68">
        <f t="shared" si="0"/>
        <v>0</v>
      </c>
    </row>
    <row r="4" spans="1:14" s="43" customFormat="1" ht="15" customHeight="1" x14ac:dyDescent="0.25">
      <c r="A4" s="67" t="s">
        <v>16</v>
      </c>
      <c r="B4" s="45">
        <f t="shared" ref="B4:N4" si="1">SUM(B5:B12)</f>
        <v>0</v>
      </c>
      <c r="C4" s="45">
        <f t="shared" si="1"/>
        <v>0</v>
      </c>
      <c r="D4" s="45">
        <f t="shared" si="1"/>
        <v>0</v>
      </c>
      <c r="E4" s="45">
        <f t="shared" si="1"/>
        <v>0</v>
      </c>
      <c r="F4" s="45">
        <f t="shared" si="1"/>
        <v>0</v>
      </c>
      <c r="G4" s="45">
        <f t="shared" si="1"/>
        <v>0</v>
      </c>
      <c r="H4" s="45">
        <f t="shared" si="1"/>
        <v>0</v>
      </c>
      <c r="I4" s="45">
        <f t="shared" si="1"/>
        <v>0</v>
      </c>
      <c r="J4" s="45">
        <f t="shared" si="1"/>
        <v>0</v>
      </c>
      <c r="K4" s="45">
        <f t="shared" si="1"/>
        <v>0</v>
      </c>
      <c r="L4" s="45">
        <f t="shared" si="1"/>
        <v>0</v>
      </c>
      <c r="M4" s="45">
        <f t="shared" si="1"/>
        <v>0</v>
      </c>
      <c r="N4" s="45">
        <f t="shared" si="1"/>
        <v>0</v>
      </c>
    </row>
    <row r="5" spans="1:14" hidden="1" outlineLevel="1" x14ac:dyDescent="0.2">
      <c r="A5" s="46" t="s">
        <v>17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8">
        <f>SUM(FCJAN[[#This Row],[JANEIRO]:[DEZEMBRO]])</f>
        <v>0</v>
      </c>
    </row>
    <row r="6" spans="1:14" hidden="1" outlineLevel="1" x14ac:dyDescent="0.2">
      <c r="A6" s="46" t="s">
        <v>18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8">
        <f>SUM(FCJAN[[#This Row],[JANEIRO]:[DEZEMBRO]])</f>
        <v>0</v>
      </c>
    </row>
    <row r="7" spans="1:14" hidden="1" outlineLevel="1" x14ac:dyDescent="0.2">
      <c r="A7" s="46" t="s">
        <v>19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>
        <f>SUM(FCJAN[[#This Row],[JANEIRO]:[DEZEMBRO]])</f>
        <v>0</v>
      </c>
    </row>
    <row r="8" spans="1:14" hidden="1" outlineLevel="1" x14ac:dyDescent="0.2">
      <c r="A8" s="46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8">
        <f>SUM(FCJAN[[#This Row],[JANEIRO]:[DEZEMBRO]])</f>
        <v>0</v>
      </c>
    </row>
    <row r="9" spans="1:14" hidden="1" outlineLevel="1" x14ac:dyDescent="0.2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8">
        <f>SUM(FCJAN[[#This Row],[JANEIRO]:[DEZEMBRO]])</f>
        <v>0</v>
      </c>
    </row>
    <row r="10" spans="1:14" hidden="1" outlineLevel="1" x14ac:dyDescent="0.2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8">
        <f>SUM(FCJAN[[#This Row],[JANEIRO]:[DEZEMBRO]])</f>
        <v>0</v>
      </c>
    </row>
    <row r="11" spans="1:14" hidden="1" outlineLevel="1" x14ac:dyDescent="0.2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8">
        <f>SUM(FCJAN[[#This Row],[JANEIRO]:[DEZEMBRO]])</f>
        <v>0</v>
      </c>
    </row>
    <row r="12" spans="1:14" hidden="1" outlineLevel="1" x14ac:dyDescent="0.2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8">
        <f>SUM(FCJAN[[#This Row],[JANEIRO]:[DEZEMBRO]])</f>
        <v>0</v>
      </c>
    </row>
    <row r="13" spans="1:14" s="43" customFormat="1" ht="15" customHeight="1" collapsed="1" x14ac:dyDescent="0.25">
      <c r="A13" s="44" t="s">
        <v>20</v>
      </c>
      <c r="B13" s="45">
        <f t="shared" ref="B13:N13" si="2">SUM(B14:B19)</f>
        <v>0</v>
      </c>
      <c r="C13" s="45">
        <f t="shared" si="2"/>
        <v>0</v>
      </c>
      <c r="D13" s="45">
        <f t="shared" si="2"/>
        <v>0</v>
      </c>
      <c r="E13" s="45">
        <f t="shared" si="2"/>
        <v>0</v>
      </c>
      <c r="F13" s="45">
        <f t="shared" si="2"/>
        <v>0</v>
      </c>
      <c r="G13" s="45">
        <f t="shared" si="2"/>
        <v>0</v>
      </c>
      <c r="H13" s="45">
        <f t="shared" si="2"/>
        <v>0</v>
      </c>
      <c r="I13" s="45">
        <f t="shared" si="2"/>
        <v>0</v>
      </c>
      <c r="J13" s="45">
        <f t="shared" si="2"/>
        <v>0</v>
      </c>
      <c r="K13" s="45">
        <f t="shared" si="2"/>
        <v>0</v>
      </c>
      <c r="L13" s="45">
        <f t="shared" si="2"/>
        <v>0</v>
      </c>
      <c r="M13" s="45">
        <f t="shared" si="2"/>
        <v>0</v>
      </c>
      <c r="N13" s="45">
        <f t="shared" si="2"/>
        <v>0</v>
      </c>
    </row>
    <row r="14" spans="1:14" hidden="1" outlineLevel="1" x14ac:dyDescent="0.2">
      <c r="A14" s="46" t="s">
        <v>21</v>
      </c>
      <c r="B14" s="47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7"/>
      <c r="N14" s="48">
        <f>SUM(FCJAN[[#This Row],[JANEIRO]:[DEZEMBRO]])</f>
        <v>0</v>
      </c>
    </row>
    <row r="15" spans="1:14" hidden="1" outlineLevel="1" x14ac:dyDescent="0.2">
      <c r="A15" s="46" t="s">
        <v>22</v>
      </c>
      <c r="B15" s="47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7"/>
      <c r="N15" s="48">
        <f>SUM(FCJAN[[#This Row],[JANEIRO]:[DEZEMBRO]])</f>
        <v>0</v>
      </c>
    </row>
    <row r="16" spans="1:14" hidden="1" outlineLevel="1" x14ac:dyDescent="0.2">
      <c r="A16" s="46" t="s">
        <v>23</v>
      </c>
      <c r="B16" s="47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7"/>
      <c r="N16" s="48">
        <f>SUM(FCJAN[[#This Row],[JANEIRO]:[DEZEMBRO]])</f>
        <v>0</v>
      </c>
    </row>
    <row r="17" spans="1:15" hidden="1" outlineLevel="1" x14ac:dyDescent="0.2">
      <c r="A17" s="46"/>
      <c r="B17" s="47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7"/>
      <c r="N17" s="48">
        <f>SUM(FCJAN[[#This Row],[JANEIRO]:[DEZEMBRO]])</f>
        <v>0</v>
      </c>
    </row>
    <row r="18" spans="1:15" hidden="1" outlineLevel="1" x14ac:dyDescent="0.2">
      <c r="A18" s="46"/>
      <c r="B18" s="47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7"/>
      <c r="N18" s="48">
        <f>SUM(FCJAN[[#This Row],[JANEIRO]:[DEZEMBRO]])</f>
        <v>0</v>
      </c>
    </row>
    <row r="19" spans="1:15" hidden="1" outlineLevel="1" x14ac:dyDescent="0.2">
      <c r="A19" s="46"/>
      <c r="B19" s="47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7"/>
      <c r="N19" s="48">
        <f>SUM(FCJAN[[#This Row],[JANEIRO]:[DEZEMBRO]])</f>
        <v>0</v>
      </c>
    </row>
    <row r="20" spans="1:15" s="43" customFormat="1" ht="15" customHeight="1" collapsed="1" x14ac:dyDescent="0.25">
      <c r="A20" s="44" t="s">
        <v>24</v>
      </c>
      <c r="B20" s="45">
        <f t="shared" ref="B20:N20" si="3">SUM(B21:B26)</f>
        <v>0</v>
      </c>
      <c r="C20" s="45">
        <f t="shared" si="3"/>
        <v>0</v>
      </c>
      <c r="D20" s="45">
        <f t="shared" si="3"/>
        <v>0</v>
      </c>
      <c r="E20" s="45">
        <f t="shared" si="3"/>
        <v>0</v>
      </c>
      <c r="F20" s="45">
        <f t="shared" si="3"/>
        <v>0</v>
      </c>
      <c r="G20" s="45">
        <f t="shared" si="3"/>
        <v>0</v>
      </c>
      <c r="H20" s="45">
        <f t="shared" si="3"/>
        <v>0</v>
      </c>
      <c r="I20" s="45">
        <f t="shared" si="3"/>
        <v>0</v>
      </c>
      <c r="J20" s="45">
        <f t="shared" si="3"/>
        <v>0</v>
      </c>
      <c r="K20" s="45">
        <f t="shared" si="3"/>
        <v>0</v>
      </c>
      <c r="L20" s="45">
        <f t="shared" si="3"/>
        <v>0</v>
      </c>
      <c r="M20" s="45">
        <f t="shared" si="3"/>
        <v>0</v>
      </c>
      <c r="N20" s="45">
        <f t="shared" si="3"/>
        <v>0</v>
      </c>
    </row>
    <row r="21" spans="1:15" hidden="1" outlineLevel="1" x14ac:dyDescent="0.2">
      <c r="A21" s="46" t="s">
        <v>21</v>
      </c>
      <c r="B21" s="47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7"/>
      <c r="N21" s="48">
        <f>SUM(FCJAN[[#This Row],[JANEIRO]:[DEZEMBRO]])</f>
        <v>0</v>
      </c>
      <c r="O21" s="43"/>
    </row>
    <row r="22" spans="1:15" hidden="1" outlineLevel="1" x14ac:dyDescent="0.2">
      <c r="A22" s="46" t="s">
        <v>22</v>
      </c>
      <c r="B22" s="47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7"/>
      <c r="N22" s="48">
        <f>SUM(FCJAN[[#This Row],[JANEIRO]:[DEZEMBRO]])</f>
        <v>0</v>
      </c>
      <c r="O22" s="43"/>
    </row>
    <row r="23" spans="1:15" hidden="1" outlineLevel="1" x14ac:dyDescent="0.2">
      <c r="A23" s="46" t="s">
        <v>23</v>
      </c>
      <c r="B23" s="47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7"/>
      <c r="N23" s="48">
        <f>SUM(FCJAN[[#This Row],[JANEIRO]:[DEZEMBRO]])</f>
        <v>0</v>
      </c>
      <c r="O23" s="43"/>
    </row>
    <row r="24" spans="1:15" hidden="1" outlineLevel="1" x14ac:dyDescent="0.2">
      <c r="A24" s="46"/>
      <c r="B24" s="47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7"/>
      <c r="N24" s="48">
        <f>SUM(FCJAN[[#This Row],[JANEIRO]:[DEZEMBRO]])</f>
        <v>0</v>
      </c>
      <c r="O24" s="43"/>
    </row>
    <row r="25" spans="1:15" hidden="1" outlineLevel="1" x14ac:dyDescent="0.2">
      <c r="A25" s="46"/>
      <c r="B25" s="47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7"/>
      <c r="N25" s="48">
        <f>SUM(FCJAN[[#This Row],[JANEIRO]:[DEZEMBRO]])</f>
        <v>0</v>
      </c>
      <c r="O25" s="43"/>
    </row>
    <row r="26" spans="1:15" hidden="1" outlineLevel="1" x14ac:dyDescent="0.2">
      <c r="A26" s="46"/>
      <c r="B26" s="47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7"/>
      <c r="N26" s="48">
        <f>SUM(FCJAN[[#This Row],[JANEIRO]:[DEZEMBRO]])</f>
        <v>0</v>
      </c>
      <c r="O26" s="43"/>
    </row>
    <row r="27" spans="1:15" collapsed="1" x14ac:dyDescent="0.2">
      <c r="A27" s="50"/>
      <c r="B27" s="51"/>
      <c r="C27" s="52"/>
      <c r="D27" s="52"/>
      <c r="E27" s="52"/>
      <c r="F27" s="53"/>
      <c r="G27" s="53"/>
      <c r="H27" s="53"/>
      <c r="I27" s="53"/>
      <c r="J27" s="53"/>
      <c r="K27" s="52"/>
      <c r="L27" s="52"/>
      <c r="M27" s="52"/>
      <c r="N27" s="53"/>
      <c r="O27" s="43"/>
    </row>
    <row r="28" spans="1:15" s="43" customFormat="1" ht="15" customHeight="1" x14ac:dyDescent="0.25">
      <c r="A28" s="54" t="s">
        <v>25</v>
      </c>
      <c r="B28" s="55">
        <f t="shared" ref="B28:N28" si="4">SUM(B29:B39)</f>
        <v>0</v>
      </c>
      <c r="C28" s="55">
        <f t="shared" si="4"/>
        <v>0</v>
      </c>
      <c r="D28" s="55">
        <f t="shared" si="4"/>
        <v>0</v>
      </c>
      <c r="E28" s="55">
        <f t="shared" si="4"/>
        <v>0</v>
      </c>
      <c r="F28" s="55">
        <f t="shared" si="4"/>
        <v>0</v>
      </c>
      <c r="G28" s="55">
        <f t="shared" si="4"/>
        <v>0</v>
      </c>
      <c r="H28" s="55">
        <f t="shared" si="4"/>
        <v>0</v>
      </c>
      <c r="I28" s="55">
        <f t="shared" si="4"/>
        <v>0</v>
      </c>
      <c r="J28" s="55">
        <f t="shared" si="4"/>
        <v>0</v>
      </c>
      <c r="K28" s="55">
        <f t="shared" si="4"/>
        <v>0</v>
      </c>
      <c r="L28" s="55">
        <f t="shared" si="4"/>
        <v>0</v>
      </c>
      <c r="M28" s="55">
        <f t="shared" si="4"/>
        <v>0</v>
      </c>
      <c r="N28" s="55">
        <f t="shared" si="4"/>
        <v>0</v>
      </c>
    </row>
    <row r="29" spans="1:15" s="43" customFormat="1" hidden="1" outlineLevel="1" x14ac:dyDescent="0.2">
      <c r="A29" s="56" t="s">
        <v>26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8">
        <f>SUM(FCJAN[[#This Row],[JANEIRO]:[DEZEMBRO]])</f>
        <v>0</v>
      </c>
    </row>
    <row r="30" spans="1:15" s="43" customFormat="1" hidden="1" outlineLevel="1" x14ac:dyDescent="0.2">
      <c r="A30" s="56" t="s">
        <v>27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8">
        <f>SUM(FCJAN[[#This Row],[JANEIRO]:[DEZEMBRO]])</f>
        <v>0</v>
      </c>
    </row>
    <row r="31" spans="1:15" s="43" customFormat="1" hidden="1" outlineLevel="1" x14ac:dyDescent="0.2">
      <c r="A31" s="56" t="s">
        <v>28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8">
        <f>SUM(FCJAN[[#This Row],[JANEIRO]:[DEZEMBRO]])</f>
        <v>0</v>
      </c>
    </row>
    <row r="32" spans="1:15" s="43" customFormat="1" hidden="1" outlineLevel="1" x14ac:dyDescent="0.2">
      <c r="A32" s="56" t="s">
        <v>29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8">
        <f>SUM(FCJAN[[#This Row],[JANEIRO]:[DEZEMBRO]])</f>
        <v>0</v>
      </c>
    </row>
    <row r="33" spans="1:15" s="43" customFormat="1" hidden="1" outlineLevel="1" x14ac:dyDescent="0.2">
      <c r="A33" s="56" t="s">
        <v>30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8">
        <f>SUM(FCJAN[[#This Row],[JANEIRO]:[DEZEMBRO]])</f>
        <v>0</v>
      </c>
    </row>
    <row r="34" spans="1:15" s="43" customFormat="1" hidden="1" outlineLevel="1" x14ac:dyDescent="0.2">
      <c r="A34" s="56" t="s">
        <v>31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8">
        <f>SUM(FCJAN[[#This Row],[JANEIRO]:[DEZEMBRO]])</f>
        <v>0</v>
      </c>
    </row>
    <row r="35" spans="1:15" s="43" customFormat="1" hidden="1" outlineLevel="1" x14ac:dyDescent="0.2">
      <c r="A35" s="56" t="s">
        <v>32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8">
        <f>SUM(FCJAN[[#This Row],[JANEIRO]:[DEZEMBRO]])</f>
        <v>0</v>
      </c>
    </row>
    <row r="36" spans="1:15" s="43" customFormat="1" hidden="1" outlineLevel="1" x14ac:dyDescent="0.2">
      <c r="A36" s="56" t="s">
        <v>33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8">
        <f>SUM(FCJAN[[#This Row],[JANEIRO]:[DEZEMBRO]])</f>
        <v>0</v>
      </c>
    </row>
    <row r="37" spans="1:15" s="43" customFormat="1" hidden="1" outlineLevel="1" x14ac:dyDescent="0.2">
      <c r="A37" s="56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8">
        <f>SUM(FCJAN[[#This Row],[JANEIRO]:[DEZEMBRO]])</f>
        <v>0</v>
      </c>
    </row>
    <row r="38" spans="1:15" s="43" customFormat="1" hidden="1" outlineLevel="1" x14ac:dyDescent="0.2">
      <c r="A38" s="56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8">
        <f>SUM(FCJAN[[#This Row],[JANEIRO]:[DEZEMBRO]])</f>
        <v>0</v>
      </c>
    </row>
    <row r="39" spans="1:15" hidden="1" outlineLevel="1" x14ac:dyDescent="0.2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48">
        <f>SUM(FCJAN[[#This Row],[JANEIRO]:[DEZEMBRO]])</f>
        <v>0</v>
      </c>
      <c r="O39" s="43"/>
    </row>
    <row r="40" spans="1:15" s="43" customFormat="1" ht="15" customHeight="1" collapsed="1" x14ac:dyDescent="0.25">
      <c r="A40" s="54" t="s">
        <v>34</v>
      </c>
      <c r="B40" s="55">
        <f t="shared" ref="B40:N40" si="5">SUM(B41:B122)</f>
        <v>0</v>
      </c>
      <c r="C40" s="55">
        <f t="shared" si="5"/>
        <v>0</v>
      </c>
      <c r="D40" s="55">
        <f t="shared" si="5"/>
        <v>0</v>
      </c>
      <c r="E40" s="55">
        <f t="shared" si="5"/>
        <v>0</v>
      </c>
      <c r="F40" s="55">
        <f t="shared" si="5"/>
        <v>0</v>
      </c>
      <c r="G40" s="55">
        <f t="shared" si="5"/>
        <v>0</v>
      </c>
      <c r="H40" s="55">
        <f t="shared" si="5"/>
        <v>0</v>
      </c>
      <c r="I40" s="55">
        <f t="shared" si="5"/>
        <v>0</v>
      </c>
      <c r="J40" s="55">
        <f t="shared" si="5"/>
        <v>0</v>
      </c>
      <c r="K40" s="55">
        <f t="shared" si="5"/>
        <v>0</v>
      </c>
      <c r="L40" s="55">
        <f t="shared" si="5"/>
        <v>0</v>
      </c>
      <c r="M40" s="55">
        <f t="shared" si="5"/>
        <v>0</v>
      </c>
      <c r="N40" s="55">
        <f t="shared" si="5"/>
        <v>0</v>
      </c>
    </row>
    <row r="41" spans="1:15" s="43" customFormat="1" hidden="1" outlineLevel="1" x14ac:dyDescent="0.2">
      <c r="A41" s="59" t="s">
        <v>35</v>
      </c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8">
        <f>SUM(FCJAN[[#This Row],[JANEIRO]:[DEZEMBRO]])</f>
        <v>0</v>
      </c>
    </row>
    <row r="42" spans="1:15" s="43" customFormat="1" hidden="1" outlineLevel="1" x14ac:dyDescent="0.2">
      <c r="A42" s="59" t="s">
        <v>36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8">
        <f>SUM(FCJAN[[#This Row],[JANEIRO]:[DEZEMBRO]])</f>
        <v>0</v>
      </c>
    </row>
    <row r="43" spans="1:15" s="43" customFormat="1" hidden="1" outlineLevel="1" x14ac:dyDescent="0.2">
      <c r="A43" s="59" t="s">
        <v>37</v>
      </c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8">
        <f>SUM(FCJAN[[#This Row],[JANEIRO]:[DEZEMBRO]])</f>
        <v>0</v>
      </c>
    </row>
    <row r="44" spans="1:15" s="43" customFormat="1" hidden="1" outlineLevel="1" x14ac:dyDescent="0.2">
      <c r="A44" s="59" t="s">
        <v>38</v>
      </c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8">
        <f>SUM(FCJAN[[#This Row],[JANEIRO]:[DEZEMBRO]])</f>
        <v>0</v>
      </c>
    </row>
    <row r="45" spans="1:15" s="43" customFormat="1" hidden="1" outlineLevel="1" x14ac:dyDescent="0.2">
      <c r="A45" s="59" t="s">
        <v>39</v>
      </c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8">
        <f>SUM(FCJAN[[#This Row],[JANEIRO]:[DEZEMBRO]])</f>
        <v>0</v>
      </c>
    </row>
    <row r="46" spans="1:15" s="43" customFormat="1" hidden="1" outlineLevel="1" x14ac:dyDescent="0.2">
      <c r="A46" s="59" t="s">
        <v>40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8">
        <f>SUM(FCJAN[[#This Row],[JANEIRO]:[DEZEMBRO]])</f>
        <v>0</v>
      </c>
    </row>
    <row r="47" spans="1:15" s="43" customFormat="1" hidden="1" outlineLevel="1" x14ac:dyDescent="0.2">
      <c r="A47" s="59" t="s">
        <v>41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>
        <f>SUM(FCJAN[[#This Row],[JANEIRO]:[DEZEMBRO]])</f>
        <v>0</v>
      </c>
    </row>
    <row r="48" spans="1:15" s="43" customFormat="1" hidden="1" outlineLevel="1" x14ac:dyDescent="0.2">
      <c r="A48" s="59" t="s">
        <v>24</v>
      </c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8">
        <f>SUM(FCJAN[[#This Row],[JANEIRO]:[DEZEMBRO]])</f>
        <v>0</v>
      </c>
    </row>
    <row r="49" spans="1:14" s="43" customFormat="1" hidden="1" outlineLevel="1" x14ac:dyDescent="0.2">
      <c r="A49" s="59" t="s">
        <v>42</v>
      </c>
      <c r="B49" s="47"/>
      <c r="C49" s="60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8">
        <f>SUM(FCJAN[[#This Row],[JANEIRO]:[DEZEMBRO]])</f>
        <v>0</v>
      </c>
    </row>
    <row r="50" spans="1:14" s="43" customFormat="1" hidden="1" outlineLevel="1" x14ac:dyDescent="0.2">
      <c r="A50" s="59" t="s">
        <v>43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>
        <f>SUM(FCJAN[[#This Row],[JANEIRO]:[DEZEMBRO]])</f>
        <v>0</v>
      </c>
    </row>
    <row r="51" spans="1:14" s="43" customFormat="1" hidden="1" outlineLevel="1" x14ac:dyDescent="0.2">
      <c r="A51" s="59" t="s">
        <v>44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>
        <f>SUM(FCJAN[[#This Row],[JANEIRO]:[DEZEMBRO]])</f>
        <v>0</v>
      </c>
    </row>
    <row r="52" spans="1:14" s="43" customFormat="1" hidden="1" outlineLevel="1" x14ac:dyDescent="0.2">
      <c r="A52" s="59" t="s">
        <v>45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>
        <f>SUM(FCJAN[[#This Row],[JANEIRO]:[DEZEMBRO]])</f>
        <v>0</v>
      </c>
    </row>
    <row r="53" spans="1:14" s="43" customFormat="1" hidden="1" outlineLevel="1" x14ac:dyDescent="0.2">
      <c r="A53" s="59" t="s">
        <v>46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8">
        <f>SUM(FCJAN[[#This Row],[JANEIRO]:[DEZEMBRO]])</f>
        <v>0</v>
      </c>
    </row>
    <row r="54" spans="1:14" s="43" customFormat="1" hidden="1" outlineLevel="1" x14ac:dyDescent="0.2">
      <c r="A54" s="59" t="s">
        <v>47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8">
        <f>SUM(FCJAN[[#This Row],[JANEIRO]:[DEZEMBRO]])</f>
        <v>0</v>
      </c>
    </row>
    <row r="55" spans="1:14" s="43" customFormat="1" hidden="1" outlineLevel="1" x14ac:dyDescent="0.2">
      <c r="A55" s="59" t="s">
        <v>48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>
        <f>SUM(FCJAN[[#This Row],[JANEIRO]:[DEZEMBRO]])</f>
        <v>0</v>
      </c>
    </row>
    <row r="56" spans="1:14" s="43" customFormat="1" hidden="1" outlineLevel="1" x14ac:dyDescent="0.2">
      <c r="A56" s="56" t="s">
        <v>49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8">
        <f>SUM(FCJAN[[#This Row],[JANEIRO]:[DEZEMBRO]])</f>
        <v>0</v>
      </c>
    </row>
    <row r="57" spans="1:14" s="43" customFormat="1" hidden="1" outlineLevel="1" x14ac:dyDescent="0.2">
      <c r="A57" s="56" t="s">
        <v>50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8">
        <f>SUM(FCJAN[[#This Row],[JANEIRO]:[DEZEMBRO]])</f>
        <v>0</v>
      </c>
    </row>
    <row r="58" spans="1:14" s="43" customFormat="1" hidden="1" outlineLevel="1" x14ac:dyDescent="0.2">
      <c r="A58" s="56" t="s">
        <v>51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8">
        <f>SUM(FCJAN[[#This Row],[JANEIRO]:[DEZEMBRO]])</f>
        <v>0</v>
      </c>
    </row>
    <row r="59" spans="1:14" s="43" customFormat="1" hidden="1" outlineLevel="1" x14ac:dyDescent="0.2">
      <c r="A59" s="56" t="s">
        <v>52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8">
        <f>SUM(FCJAN[[#This Row],[JANEIRO]:[DEZEMBRO]])</f>
        <v>0</v>
      </c>
    </row>
    <row r="60" spans="1:14" s="43" customFormat="1" hidden="1" outlineLevel="1" x14ac:dyDescent="0.2">
      <c r="A60" s="56" t="s">
        <v>53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8">
        <f>SUM(FCJAN[[#This Row],[JANEIRO]:[DEZEMBRO]])</f>
        <v>0</v>
      </c>
    </row>
    <row r="61" spans="1:14" s="43" customFormat="1" hidden="1" outlineLevel="1" x14ac:dyDescent="0.2">
      <c r="A61" s="56" t="s">
        <v>54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8">
        <f>SUM(FCJAN[[#This Row],[JANEIRO]:[DEZEMBRO]])</f>
        <v>0</v>
      </c>
    </row>
    <row r="62" spans="1:14" s="43" customFormat="1" hidden="1" outlineLevel="1" x14ac:dyDescent="0.2">
      <c r="A62" s="56" t="s">
        <v>55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>
        <f>SUM(FCJAN[[#This Row],[JANEIRO]:[DEZEMBRO]])</f>
        <v>0</v>
      </c>
    </row>
    <row r="63" spans="1:14" s="43" customFormat="1" hidden="1" outlineLevel="1" x14ac:dyDescent="0.2">
      <c r="A63" s="56" t="s">
        <v>56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8">
        <f>SUM(FCJAN[[#This Row],[JANEIRO]:[DEZEMBRO]])</f>
        <v>0</v>
      </c>
    </row>
    <row r="64" spans="1:14" s="43" customFormat="1" hidden="1" outlineLevel="1" x14ac:dyDescent="0.2">
      <c r="A64" s="56" t="s">
        <v>57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8">
        <f>SUM(FCJAN[[#This Row],[JANEIRO]:[DEZEMBRO]])</f>
        <v>0</v>
      </c>
    </row>
    <row r="65" spans="1:14" s="43" customFormat="1" hidden="1" outlineLevel="1" x14ac:dyDescent="0.2">
      <c r="A65" s="56" t="s">
        <v>58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8">
        <f>SUM(FCJAN[[#This Row],[JANEIRO]:[DEZEMBRO]])</f>
        <v>0</v>
      </c>
    </row>
    <row r="66" spans="1:14" s="43" customFormat="1" hidden="1" outlineLevel="1" x14ac:dyDescent="0.2">
      <c r="A66" s="56" t="s">
        <v>59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8">
        <f>SUM(FCJAN[[#This Row],[JANEIRO]:[DEZEMBRO]])</f>
        <v>0</v>
      </c>
    </row>
    <row r="67" spans="1:14" s="43" customFormat="1" hidden="1" outlineLevel="1" x14ac:dyDescent="0.2">
      <c r="A67" s="56" t="s">
        <v>60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8">
        <f>SUM(FCJAN[[#This Row],[JANEIRO]:[DEZEMBRO]])</f>
        <v>0</v>
      </c>
    </row>
    <row r="68" spans="1:14" s="43" customFormat="1" hidden="1" outlineLevel="1" x14ac:dyDescent="0.2">
      <c r="A68" s="56" t="s">
        <v>61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8">
        <f>SUM(FCJAN[[#This Row],[JANEIRO]:[DEZEMBRO]])</f>
        <v>0</v>
      </c>
    </row>
    <row r="69" spans="1:14" s="43" customFormat="1" hidden="1" outlineLevel="1" x14ac:dyDescent="0.2">
      <c r="A69" s="56" t="s">
        <v>62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8">
        <f>SUM(FCJAN[[#This Row],[JANEIRO]:[DEZEMBRO]])</f>
        <v>0</v>
      </c>
    </row>
    <row r="70" spans="1:14" s="43" customFormat="1" hidden="1" outlineLevel="1" x14ac:dyDescent="0.2">
      <c r="A70" s="56" t="s">
        <v>63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8">
        <f>SUM(FCJAN[[#This Row],[JANEIRO]:[DEZEMBRO]])</f>
        <v>0</v>
      </c>
    </row>
    <row r="71" spans="1:14" s="43" customFormat="1" hidden="1" outlineLevel="1" x14ac:dyDescent="0.2">
      <c r="A71" s="56" t="s">
        <v>64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8">
        <f>SUM(FCJAN[[#This Row],[JANEIRO]:[DEZEMBRO]])</f>
        <v>0</v>
      </c>
    </row>
    <row r="72" spans="1:14" s="43" customFormat="1" hidden="1" outlineLevel="1" x14ac:dyDescent="0.2">
      <c r="A72" s="56" t="s">
        <v>65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8">
        <f>SUM(FCJAN[[#This Row],[JANEIRO]:[DEZEMBRO]])</f>
        <v>0</v>
      </c>
    </row>
    <row r="73" spans="1:14" s="43" customFormat="1" hidden="1" outlineLevel="1" x14ac:dyDescent="0.2">
      <c r="A73" s="56" t="s">
        <v>66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8">
        <f>SUM(FCJAN[[#This Row],[JANEIRO]:[DEZEMBRO]])</f>
        <v>0</v>
      </c>
    </row>
    <row r="74" spans="1:14" s="43" customFormat="1" hidden="1" outlineLevel="1" x14ac:dyDescent="0.2">
      <c r="A74" s="56" t="s">
        <v>67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8">
        <f>SUM(FCJAN[[#This Row],[JANEIRO]:[DEZEMBRO]])</f>
        <v>0</v>
      </c>
    </row>
    <row r="75" spans="1:14" s="43" customFormat="1" hidden="1" outlineLevel="1" x14ac:dyDescent="0.2">
      <c r="A75" s="56" t="s">
        <v>68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8">
        <f>SUM(FCJAN[[#This Row],[JANEIRO]:[DEZEMBRO]])</f>
        <v>0</v>
      </c>
    </row>
    <row r="76" spans="1:14" s="43" customFormat="1" hidden="1" outlineLevel="1" x14ac:dyDescent="0.2">
      <c r="A76" s="56" t="s">
        <v>69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>
        <f>SUM(FCJAN[[#This Row],[JANEIRO]:[DEZEMBRO]])</f>
        <v>0</v>
      </c>
    </row>
    <row r="77" spans="1:14" s="43" customFormat="1" hidden="1" outlineLevel="1" x14ac:dyDescent="0.2">
      <c r="A77" s="56" t="s">
        <v>70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8">
        <f>SUM(FCJAN[[#This Row],[JANEIRO]:[DEZEMBRO]])</f>
        <v>0</v>
      </c>
    </row>
    <row r="78" spans="1:14" s="43" customFormat="1" hidden="1" outlineLevel="1" x14ac:dyDescent="0.2">
      <c r="A78" s="56" t="s">
        <v>71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8">
        <f>SUM(FCJAN[[#This Row],[JANEIRO]:[DEZEMBRO]])</f>
        <v>0</v>
      </c>
    </row>
    <row r="79" spans="1:14" s="43" customFormat="1" hidden="1" outlineLevel="1" x14ac:dyDescent="0.2">
      <c r="A79" s="56" t="s">
        <v>72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8">
        <f>SUM(FCJAN[[#This Row],[JANEIRO]:[DEZEMBRO]])</f>
        <v>0</v>
      </c>
    </row>
    <row r="80" spans="1:14" s="43" customFormat="1" hidden="1" outlineLevel="1" x14ac:dyDescent="0.2">
      <c r="A80" s="56" t="s">
        <v>73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8">
        <f>SUM(FCJAN[[#This Row],[JANEIRO]:[DEZEMBRO]])</f>
        <v>0</v>
      </c>
    </row>
    <row r="81" spans="1:14" s="43" customFormat="1" hidden="1" outlineLevel="1" x14ac:dyDescent="0.2">
      <c r="A81" s="56" t="s">
        <v>74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8">
        <f>SUM(FCJAN[[#This Row],[JANEIRO]:[DEZEMBRO]])</f>
        <v>0</v>
      </c>
    </row>
    <row r="82" spans="1:14" s="43" customFormat="1" hidden="1" outlineLevel="1" x14ac:dyDescent="0.2">
      <c r="A82" s="56" t="s">
        <v>75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8">
        <f>SUM(FCJAN[[#This Row],[JANEIRO]:[DEZEMBRO]])</f>
        <v>0</v>
      </c>
    </row>
    <row r="83" spans="1:14" s="43" customFormat="1" hidden="1" outlineLevel="1" x14ac:dyDescent="0.2">
      <c r="A83" s="56" t="s">
        <v>76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8">
        <f>SUM(FCJAN[[#This Row],[JANEIRO]:[DEZEMBRO]])</f>
        <v>0</v>
      </c>
    </row>
    <row r="84" spans="1:14" s="43" customFormat="1" hidden="1" outlineLevel="1" x14ac:dyDescent="0.2">
      <c r="A84" s="56" t="s">
        <v>77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8">
        <f>SUM(FCJAN[[#This Row],[JANEIRO]:[DEZEMBRO]])</f>
        <v>0</v>
      </c>
    </row>
    <row r="85" spans="1:14" s="43" customFormat="1" hidden="1" outlineLevel="1" x14ac:dyDescent="0.2">
      <c r="A85" s="56" t="s">
        <v>78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8">
        <f>SUM(FCJAN[[#This Row],[JANEIRO]:[DEZEMBRO]])</f>
        <v>0</v>
      </c>
    </row>
    <row r="86" spans="1:14" s="43" customFormat="1" hidden="1" outlineLevel="1" x14ac:dyDescent="0.2">
      <c r="A86" s="56" t="s">
        <v>79</v>
      </c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8">
        <f>SUM(FCJAN[[#This Row],[JANEIRO]:[DEZEMBRO]])</f>
        <v>0</v>
      </c>
    </row>
    <row r="87" spans="1:14" s="43" customFormat="1" hidden="1" outlineLevel="1" x14ac:dyDescent="0.2">
      <c r="A87" s="56" t="s">
        <v>80</v>
      </c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8">
        <f>SUM(FCJAN[[#This Row],[JANEIRO]:[DEZEMBRO]])</f>
        <v>0</v>
      </c>
    </row>
    <row r="88" spans="1:14" s="43" customFormat="1" hidden="1" outlineLevel="1" x14ac:dyDescent="0.2">
      <c r="A88" s="56" t="s">
        <v>81</v>
      </c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8">
        <f>SUM(FCJAN[[#This Row],[JANEIRO]:[DEZEMBRO]])</f>
        <v>0</v>
      </c>
    </row>
    <row r="89" spans="1:14" s="43" customFormat="1" hidden="1" outlineLevel="1" x14ac:dyDescent="0.2">
      <c r="A89" s="56" t="s">
        <v>82</v>
      </c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8">
        <f>SUM(FCJAN[[#This Row],[JANEIRO]:[DEZEMBRO]])</f>
        <v>0</v>
      </c>
    </row>
    <row r="90" spans="1:14" s="43" customFormat="1" hidden="1" outlineLevel="1" x14ac:dyDescent="0.2">
      <c r="A90" s="56" t="s">
        <v>83</v>
      </c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8">
        <f>SUM(FCJAN[[#This Row],[JANEIRO]:[DEZEMBRO]])</f>
        <v>0</v>
      </c>
    </row>
    <row r="91" spans="1:14" s="43" customFormat="1" hidden="1" outlineLevel="1" x14ac:dyDescent="0.2">
      <c r="A91" s="56" t="s">
        <v>84</v>
      </c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8">
        <f>SUM(FCJAN[[#This Row],[JANEIRO]:[DEZEMBRO]])</f>
        <v>0</v>
      </c>
    </row>
    <row r="92" spans="1:14" s="43" customFormat="1" hidden="1" outlineLevel="1" x14ac:dyDescent="0.2">
      <c r="A92" s="56" t="s">
        <v>85</v>
      </c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8">
        <f>SUM(FCJAN[[#This Row],[JANEIRO]:[DEZEMBRO]])</f>
        <v>0</v>
      </c>
    </row>
    <row r="93" spans="1:14" s="43" customFormat="1" hidden="1" outlineLevel="1" x14ac:dyDescent="0.2">
      <c r="A93" s="56" t="s">
        <v>86</v>
      </c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8">
        <f>SUM(FCJAN[[#This Row],[JANEIRO]:[DEZEMBRO]])</f>
        <v>0</v>
      </c>
    </row>
    <row r="94" spans="1:14" s="43" customFormat="1" hidden="1" outlineLevel="1" x14ac:dyDescent="0.2">
      <c r="A94" s="56" t="s">
        <v>87</v>
      </c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8">
        <f>SUM(FCJAN[[#This Row],[JANEIRO]:[DEZEMBRO]])</f>
        <v>0</v>
      </c>
    </row>
    <row r="95" spans="1:14" s="43" customFormat="1" hidden="1" outlineLevel="1" x14ac:dyDescent="0.2">
      <c r="A95" s="56" t="s">
        <v>88</v>
      </c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8">
        <f>SUM(FCJAN[[#This Row],[JANEIRO]:[DEZEMBRO]])</f>
        <v>0</v>
      </c>
    </row>
    <row r="96" spans="1:14" s="43" customFormat="1" hidden="1" outlineLevel="1" x14ac:dyDescent="0.2">
      <c r="A96" s="56" t="s">
        <v>89</v>
      </c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8">
        <f>SUM(FCJAN[[#This Row],[JANEIRO]:[DEZEMBRO]])</f>
        <v>0</v>
      </c>
    </row>
    <row r="97" spans="1:14" s="43" customFormat="1" hidden="1" outlineLevel="1" x14ac:dyDescent="0.2">
      <c r="A97" s="56" t="s">
        <v>90</v>
      </c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8">
        <f>SUM(FCJAN[[#This Row],[JANEIRO]:[DEZEMBRO]])</f>
        <v>0</v>
      </c>
    </row>
    <row r="98" spans="1:14" s="43" customFormat="1" hidden="1" outlineLevel="1" x14ac:dyDescent="0.2">
      <c r="A98" s="56" t="s">
        <v>91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8">
        <f>SUM(FCJAN[[#This Row],[JANEIRO]:[DEZEMBRO]])</f>
        <v>0</v>
      </c>
    </row>
    <row r="99" spans="1:14" s="43" customFormat="1" hidden="1" outlineLevel="1" x14ac:dyDescent="0.2">
      <c r="A99" s="56" t="s">
        <v>92</v>
      </c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8">
        <f>SUM(FCJAN[[#This Row],[JANEIRO]:[DEZEMBRO]])</f>
        <v>0</v>
      </c>
    </row>
    <row r="100" spans="1:14" s="43" customFormat="1" hidden="1" outlineLevel="1" x14ac:dyDescent="0.2">
      <c r="A100" s="56" t="s">
        <v>93</v>
      </c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8">
        <f>SUM(FCJAN[[#This Row],[JANEIRO]:[DEZEMBRO]])</f>
        <v>0</v>
      </c>
    </row>
    <row r="101" spans="1:14" s="43" customFormat="1" hidden="1" outlineLevel="1" x14ac:dyDescent="0.2">
      <c r="A101" s="56" t="s">
        <v>94</v>
      </c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8">
        <f>SUM(FCJAN[[#This Row],[JANEIRO]:[DEZEMBRO]])</f>
        <v>0</v>
      </c>
    </row>
    <row r="102" spans="1:14" s="43" customFormat="1" hidden="1" outlineLevel="1" x14ac:dyDescent="0.2">
      <c r="A102" s="56" t="s">
        <v>95</v>
      </c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8">
        <f>SUM(FCJAN[[#This Row],[JANEIRO]:[DEZEMBRO]])</f>
        <v>0</v>
      </c>
    </row>
    <row r="103" spans="1:14" s="43" customFormat="1" hidden="1" outlineLevel="1" x14ac:dyDescent="0.2">
      <c r="A103" s="56" t="s">
        <v>96</v>
      </c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8">
        <f>SUM(FCJAN[[#This Row],[JANEIRO]:[DEZEMBRO]])</f>
        <v>0</v>
      </c>
    </row>
    <row r="104" spans="1:14" s="43" customFormat="1" hidden="1" outlineLevel="1" x14ac:dyDescent="0.2">
      <c r="A104" s="56" t="s">
        <v>97</v>
      </c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8">
        <f>SUM(FCJAN[[#This Row],[JANEIRO]:[DEZEMBRO]])</f>
        <v>0</v>
      </c>
    </row>
    <row r="105" spans="1:14" s="43" customFormat="1" hidden="1" outlineLevel="1" x14ac:dyDescent="0.2">
      <c r="A105" s="56" t="s">
        <v>98</v>
      </c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8">
        <f>SUM(FCJAN[[#This Row],[JANEIRO]:[DEZEMBRO]])</f>
        <v>0</v>
      </c>
    </row>
    <row r="106" spans="1:14" s="43" customFormat="1" hidden="1" outlineLevel="1" x14ac:dyDescent="0.2">
      <c r="A106" s="56" t="s">
        <v>99</v>
      </c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8">
        <f>SUM(FCJAN[[#This Row],[JANEIRO]:[DEZEMBRO]])</f>
        <v>0</v>
      </c>
    </row>
    <row r="107" spans="1:14" s="43" customFormat="1" hidden="1" outlineLevel="1" x14ac:dyDescent="0.2">
      <c r="A107" s="56" t="s">
        <v>100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8">
        <f>SUM(FCJAN[[#This Row],[JANEIRO]:[DEZEMBRO]])</f>
        <v>0</v>
      </c>
    </row>
    <row r="108" spans="1:14" s="43" customFormat="1" hidden="1" outlineLevel="1" x14ac:dyDescent="0.2">
      <c r="A108" s="56" t="s">
        <v>101</v>
      </c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8">
        <f>SUM(FCJAN[[#This Row],[JANEIRO]:[DEZEMBRO]])</f>
        <v>0</v>
      </c>
    </row>
    <row r="109" spans="1:14" s="43" customFormat="1" hidden="1" outlineLevel="1" x14ac:dyDescent="0.2">
      <c r="A109" s="56" t="s">
        <v>102</v>
      </c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8">
        <f>SUM(FCJAN[[#This Row],[JANEIRO]:[DEZEMBRO]])</f>
        <v>0</v>
      </c>
    </row>
    <row r="110" spans="1:14" s="43" customFormat="1" hidden="1" outlineLevel="1" x14ac:dyDescent="0.2">
      <c r="A110" s="56" t="s">
        <v>103</v>
      </c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8">
        <f>SUM(FCJAN[[#This Row],[JANEIRO]:[DEZEMBRO]])</f>
        <v>0</v>
      </c>
    </row>
    <row r="111" spans="1:14" s="43" customFormat="1" hidden="1" outlineLevel="1" x14ac:dyDescent="0.2">
      <c r="A111" s="56" t="s">
        <v>104</v>
      </c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8">
        <f>SUM(FCJAN[[#This Row],[JANEIRO]:[DEZEMBRO]])</f>
        <v>0</v>
      </c>
    </row>
    <row r="112" spans="1:14" s="43" customFormat="1" hidden="1" outlineLevel="1" x14ac:dyDescent="0.2">
      <c r="A112" s="56" t="s">
        <v>105</v>
      </c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8">
        <f>SUM(FCJAN[[#This Row],[JANEIRO]:[DEZEMBRO]])</f>
        <v>0</v>
      </c>
    </row>
    <row r="113" spans="1:15" s="43" customFormat="1" hidden="1" outlineLevel="1" x14ac:dyDescent="0.2">
      <c r="A113" s="56" t="s">
        <v>106</v>
      </c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8">
        <f>SUM(FCJAN[[#This Row],[JANEIRO]:[DEZEMBRO]])</f>
        <v>0</v>
      </c>
    </row>
    <row r="114" spans="1:15" s="43" customFormat="1" hidden="1" outlineLevel="1" x14ac:dyDescent="0.2">
      <c r="A114" s="56" t="s">
        <v>107</v>
      </c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8">
        <f>SUM(FCJAN[[#This Row],[JANEIRO]:[DEZEMBRO]])</f>
        <v>0</v>
      </c>
    </row>
    <row r="115" spans="1:15" s="43" customFormat="1" hidden="1" outlineLevel="1" x14ac:dyDescent="0.2">
      <c r="A115" s="56" t="s">
        <v>108</v>
      </c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8">
        <f>SUM(FCJAN[[#This Row],[JANEIRO]:[DEZEMBRO]])</f>
        <v>0</v>
      </c>
    </row>
    <row r="116" spans="1:15" s="43" customFormat="1" hidden="1" outlineLevel="1" x14ac:dyDescent="0.2">
      <c r="A116" s="56" t="s">
        <v>109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8">
        <f>SUM(FCJAN[[#This Row],[JANEIRO]:[DEZEMBRO]])</f>
        <v>0</v>
      </c>
    </row>
    <row r="117" spans="1:15" s="43" customFormat="1" hidden="1" outlineLevel="1" x14ac:dyDescent="0.2">
      <c r="A117" s="56" t="s">
        <v>110</v>
      </c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8">
        <f>SUM(FCJAN[[#This Row],[JANEIRO]:[DEZEMBRO]])</f>
        <v>0</v>
      </c>
    </row>
    <row r="118" spans="1:15" s="43" customFormat="1" hidden="1" outlineLevel="1" x14ac:dyDescent="0.2">
      <c r="A118" s="56" t="s">
        <v>111</v>
      </c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8">
        <f>SUM(FCJAN[[#This Row],[JANEIRO]:[DEZEMBRO]])</f>
        <v>0</v>
      </c>
    </row>
    <row r="119" spans="1:15" s="43" customFormat="1" hidden="1" outlineLevel="1" x14ac:dyDescent="0.2">
      <c r="A119" s="56" t="s">
        <v>112</v>
      </c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8">
        <f>SUM(FCJAN[[#This Row],[JANEIRO]:[DEZEMBRO]])</f>
        <v>0</v>
      </c>
    </row>
    <row r="120" spans="1:15" s="43" customFormat="1" hidden="1" outlineLevel="1" x14ac:dyDescent="0.2">
      <c r="A120" s="56" t="s">
        <v>113</v>
      </c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8">
        <f>SUM(FCJAN[[#This Row],[JANEIRO]:[DEZEMBRO]])</f>
        <v>0</v>
      </c>
    </row>
    <row r="121" spans="1:15" s="43" customFormat="1" hidden="1" outlineLevel="1" x14ac:dyDescent="0.2">
      <c r="A121" s="56" t="s">
        <v>114</v>
      </c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8">
        <f>SUM(FCJAN[[#This Row],[JANEIRO]:[DEZEMBRO]])</f>
        <v>0</v>
      </c>
    </row>
    <row r="122" spans="1:15" hidden="1" outlineLevel="1" x14ac:dyDescent="0.2">
      <c r="A122" s="57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7"/>
      <c r="N122" s="48">
        <f>SUM(FCJAN[[#This Row],[JANEIRO]:[DEZEMBRO]])</f>
        <v>0</v>
      </c>
      <c r="O122" s="43"/>
    </row>
    <row r="123" spans="1:15" s="43" customFormat="1" ht="15" customHeight="1" collapsed="1" x14ac:dyDescent="0.25">
      <c r="A123" s="54" t="s">
        <v>115</v>
      </c>
      <c r="B123" s="55">
        <f t="shared" ref="B123:N123" si="6">SUM(B124:B132)</f>
        <v>0</v>
      </c>
      <c r="C123" s="55">
        <f t="shared" si="6"/>
        <v>0</v>
      </c>
      <c r="D123" s="55">
        <f t="shared" si="6"/>
        <v>0</v>
      </c>
      <c r="E123" s="55">
        <f t="shared" si="6"/>
        <v>0</v>
      </c>
      <c r="F123" s="55">
        <f t="shared" si="6"/>
        <v>0</v>
      </c>
      <c r="G123" s="55">
        <f t="shared" si="6"/>
        <v>0</v>
      </c>
      <c r="H123" s="55">
        <f t="shared" si="6"/>
        <v>0</v>
      </c>
      <c r="I123" s="55">
        <f t="shared" si="6"/>
        <v>0</v>
      </c>
      <c r="J123" s="55">
        <f t="shared" si="6"/>
        <v>0</v>
      </c>
      <c r="K123" s="55">
        <f t="shared" si="6"/>
        <v>0</v>
      </c>
      <c r="L123" s="55">
        <f t="shared" si="6"/>
        <v>0</v>
      </c>
      <c r="M123" s="55">
        <f t="shared" si="6"/>
        <v>0</v>
      </c>
      <c r="N123" s="55">
        <f t="shared" si="6"/>
        <v>0</v>
      </c>
    </row>
    <row r="124" spans="1:15" s="43" customFormat="1" hidden="1" outlineLevel="1" x14ac:dyDescent="0.2">
      <c r="A124" s="59" t="s">
        <v>116</v>
      </c>
      <c r="B124" s="47">
        <v>0</v>
      </c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8">
        <f>SUM(FCJAN[[#This Row],[JANEIRO]:[DEZEMBRO]])</f>
        <v>0</v>
      </c>
    </row>
    <row r="125" spans="1:15" s="43" customFormat="1" hidden="1" outlineLevel="1" x14ac:dyDescent="0.2">
      <c r="A125" s="5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8">
        <f>SUM(FCJAN[[#This Row],[JANEIRO]:[DEZEMBRO]])</f>
        <v>0</v>
      </c>
    </row>
    <row r="126" spans="1:15" s="43" customFormat="1" hidden="1" outlineLevel="1" x14ac:dyDescent="0.2">
      <c r="A126" s="59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8">
        <f>SUM(FCJAN[[#This Row],[JANEIRO]:[DEZEMBRO]])</f>
        <v>0</v>
      </c>
    </row>
    <row r="127" spans="1:15" s="43" customFormat="1" hidden="1" outlineLevel="1" x14ac:dyDescent="0.2">
      <c r="A127" s="59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8">
        <f>SUM(FCJAN[[#This Row],[JANEIRO]:[DEZEMBRO]])</f>
        <v>0</v>
      </c>
    </row>
    <row r="128" spans="1:15" s="43" customFormat="1" hidden="1" outlineLevel="1" x14ac:dyDescent="0.2">
      <c r="A128" s="59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8">
        <f>SUM(FCJAN[[#This Row],[JANEIRO]:[DEZEMBRO]])</f>
        <v>0</v>
      </c>
    </row>
    <row r="129" spans="1:14" s="43" customFormat="1" hidden="1" outlineLevel="1" x14ac:dyDescent="0.2">
      <c r="A129" s="59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8">
        <f>SUM(FCJAN[[#This Row],[JANEIRO]:[DEZEMBRO]])</f>
        <v>0</v>
      </c>
    </row>
    <row r="130" spans="1:14" s="43" customFormat="1" hidden="1" outlineLevel="1" x14ac:dyDescent="0.2">
      <c r="A130" s="59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8">
        <f>SUM(FCJAN[[#This Row],[JANEIRO]:[DEZEMBRO]])</f>
        <v>0</v>
      </c>
    </row>
    <row r="131" spans="1:14" s="43" customFormat="1" hidden="1" outlineLevel="1" x14ac:dyDescent="0.2">
      <c r="A131" s="5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8">
        <f>SUM(FCJAN[[#This Row],[JANEIRO]:[DEZEMBRO]])</f>
        <v>0</v>
      </c>
    </row>
    <row r="132" spans="1:14" s="43" customFormat="1" hidden="1" outlineLevel="1" x14ac:dyDescent="0.2">
      <c r="A132" s="5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8">
        <f>SUM(FCJAN[[#This Row],[JANEIRO]:[DEZEMBRO]])</f>
        <v>0</v>
      </c>
    </row>
    <row r="133" spans="1:14" s="43" customFormat="1" ht="15.75" customHeight="1" collapsed="1" x14ac:dyDescent="0.25">
      <c r="A133" s="61" t="s">
        <v>117</v>
      </c>
      <c r="B133" s="62">
        <f t="shared" ref="B133:N133" si="7">B28-B40</f>
        <v>0</v>
      </c>
      <c r="C133" s="62">
        <f t="shared" si="7"/>
        <v>0</v>
      </c>
      <c r="D133" s="62">
        <f t="shared" si="7"/>
        <v>0</v>
      </c>
      <c r="E133" s="62">
        <f t="shared" si="7"/>
        <v>0</v>
      </c>
      <c r="F133" s="62">
        <f t="shared" si="7"/>
        <v>0</v>
      </c>
      <c r="G133" s="62">
        <f t="shared" si="7"/>
        <v>0</v>
      </c>
      <c r="H133" s="62">
        <f t="shared" si="7"/>
        <v>0</v>
      </c>
      <c r="I133" s="62">
        <f t="shared" si="7"/>
        <v>0</v>
      </c>
      <c r="J133" s="62">
        <f t="shared" si="7"/>
        <v>0</v>
      </c>
      <c r="K133" s="62">
        <f t="shared" si="7"/>
        <v>0</v>
      </c>
      <c r="L133" s="62">
        <f t="shared" si="7"/>
        <v>0</v>
      </c>
      <c r="M133" s="62">
        <f t="shared" si="7"/>
        <v>0</v>
      </c>
      <c r="N133" s="62">
        <f t="shared" si="7"/>
        <v>0</v>
      </c>
    </row>
    <row r="134" spans="1:14" s="43" customFormat="1" ht="15" customHeight="1" x14ac:dyDescent="0.25">
      <c r="A134" s="63" t="s">
        <v>118</v>
      </c>
      <c r="B134" s="64">
        <f>B3</f>
        <v>0</v>
      </c>
      <c r="C134" s="64">
        <f t="shared" ref="C134:N134" si="8">B135</f>
        <v>0</v>
      </c>
      <c r="D134" s="64">
        <f t="shared" si="8"/>
        <v>0</v>
      </c>
      <c r="E134" s="64">
        <f t="shared" si="8"/>
        <v>0</v>
      </c>
      <c r="F134" s="64">
        <f t="shared" si="8"/>
        <v>0</v>
      </c>
      <c r="G134" s="64">
        <f t="shared" si="8"/>
        <v>0</v>
      </c>
      <c r="H134" s="64">
        <f t="shared" si="8"/>
        <v>0</v>
      </c>
      <c r="I134" s="64">
        <f t="shared" si="8"/>
        <v>0</v>
      </c>
      <c r="J134" s="64">
        <f t="shared" si="8"/>
        <v>0</v>
      </c>
      <c r="K134" s="64">
        <f t="shared" si="8"/>
        <v>0</v>
      </c>
      <c r="L134" s="64">
        <f t="shared" si="8"/>
        <v>0</v>
      </c>
      <c r="M134" s="64">
        <f t="shared" si="8"/>
        <v>0</v>
      </c>
      <c r="N134" s="64">
        <f t="shared" si="8"/>
        <v>0</v>
      </c>
    </row>
    <row r="135" spans="1:14" s="43" customFormat="1" ht="15" customHeight="1" x14ac:dyDescent="0.25">
      <c r="A135" s="65" t="s">
        <v>119</v>
      </c>
      <c r="B135" s="66">
        <f t="shared" ref="B135:N135" si="9">B123+B133+B134</f>
        <v>0</v>
      </c>
      <c r="C135" s="66">
        <f t="shared" si="9"/>
        <v>0</v>
      </c>
      <c r="D135" s="66">
        <f t="shared" si="9"/>
        <v>0</v>
      </c>
      <c r="E135" s="66">
        <f t="shared" si="9"/>
        <v>0</v>
      </c>
      <c r="F135" s="66">
        <f t="shared" si="9"/>
        <v>0</v>
      </c>
      <c r="G135" s="66">
        <f t="shared" si="9"/>
        <v>0</v>
      </c>
      <c r="H135" s="66">
        <f t="shared" si="9"/>
        <v>0</v>
      </c>
      <c r="I135" s="66">
        <f t="shared" si="9"/>
        <v>0</v>
      </c>
      <c r="J135" s="66">
        <f t="shared" si="9"/>
        <v>0</v>
      </c>
      <c r="K135" s="66">
        <f t="shared" si="9"/>
        <v>0</v>
      </c>
      <c r="L135" s="66">
        <f t="shared" si="9"/>
        <v>0</v>
      </c>
      <c r="M135" s="66">
        <f t="shared" si="9"/>
        <v>0</v>
      </c>
      <c r="N135" s="66">
        <f t="shared" si="9"/>
        <v>0</v>
      </c>
    </row>
  </sheetData>
  <conditionalFormatting sqref="A133:XFD135">
    <cfRule type="cellIs" dxfId="3" priority="2" operator="lessThan">
      <formula>0</formula>
    </cfRule>
  </conditionalFormatting>
  <conditionalFormatting sqref="B133:N133">
    <cfRule type="cellIs" dxfId="2" priority="1" operator="equal">
      <formula>0</formula>
    </cfRule>
    <cfRule type="cellIs" dxfId="1" priority="3" operator="greaterThan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90"/>
  <sheetViews>
    <sheetView showGridLines="0" workbookViewId="0">
      <pane xSplit="1" ySplit="2" topLeftCell="B42" activePane="bottomRight" state="frozen"/>
      <selection pane="topRight" activeCell="B1" sqref="B1"/>
      <selection pane="bottomLeft" activeCell="A3" sqref="A3"/>
      <selection pane="bottomRight" activeCell="C159" sqref="C159"/>
    </sheetView>
  </sheetViews>
  <sheetFormatPr defaultColWidth="9.140625" defaultRowHeight="15" outlineLevelRow="1" x14ac:dyDescent="0.25"/>
  <cols>
    <col min="1" max="1" width="61.28515625" style="24" customWidth="1"/>
    <col min="2" max="2" width="14.7109375" style="25" customWidth="1"/>
    <col min="3" max="3" width="5.28515625" style="75" customWidth="1"/>
    <col min="4" max="4" width="14.7109375" style="25" customWidth="1"/>
    <col min="5" max="5" width="5.28515625" style="75" customWidth="1"/>
    <col min="6" max="6" width="8" style="75" customWidth="1"/>
    <col min="7" max="7" width="14.7109375" style="25" customWidth="1"/>
    <col min="8" max="8" width="5.28515625" style="75" customWidth="1"/>
    <col min="9" max="9" width="8" style="75" customWidth="1"/>
    <col min="10" max="10" width="14.7109375" style="25" customWidth="1"/>
    <col min="11" max="11" width="5.28515625" style="75" customWidth="1"/>
    <col min="12" max="12" width="8" style="75" customWidth="1"/>
    <col min="13" max="13" width="14.7109375" style="25" customWidth="1"/>
    <col min="14" max="14" width="5.28515625" style="75" customWidth="1"/>
    <col min="15" max="15" width="8" style="75" customWidth="1"/>
    <col min="16" max="16" width="14.7109375" style="25" customWidth="1"/>
    <col min="17" max="17" width="5.28515625" style="75" customWidth="1"/>
    <col min="18" max="18" width="8" style="75" customWidth="1"/>
    <col min="19" max="19" width="14.7109375" style="25" customWidth="1"/>
    <col min="20" max="20" width="5.28515625" style="75" customWidth="1"/>
    <col min="21" max="21" width="8" style="75" customWidth="1"/>
    <col min="22" max="22" width="14.7109375" style="25" customWidth="1"/>
    <col min="23" max="23" width="5.28515625" style="75" customWidth="1"/>
    <col min="24" max="24" width="8" style="75" customWidth="1"/>
    <col min="25" max="25" width="14.7109375" style="25" customWidth="1"/>
    <col min="26" max="26" width="5.28515625" style="75" customWidth="1"/>
    <col min="27" max="27" width="8" style="75" customWidth="1"/>
    <col min="28" max="28" width="14.7109375" style="25" customWidth="1"/>
    <col min="29" max="29" width="5.28515625" style="75" customWidth="1"/>
    <col min="30" max="30" width="8" style="75" customWidth="1"/>
    <col min="31" max="31" width="14.7109375" style="25" customWidth="1"/>
    <col min="32" max="32" width="5.28515625" style="75" customWidth="1"/>
    <col min="33" max="33" width="8" style="75" customWidth="1"/>
    <col min="34" max="34" width="14.7109375" style="25" customWidth="1"/>
    <col min="35" max="35" width="5.28515625" style="75" customWidth="1"/>
    <col min="36" max="36" width="8" style="75" customWidth="1"/>
    <col min="37" max="37" width="18.7109375" style="1" customWidth="1"/>
    <col min="38" max="38" width="5.28515625" style="75" customWidth="1"/>
    <col min="39" max="39" width="16.28515625" style="1" customWidth="1"/>
    <col min="40" max="40" width="9.140625" style="3" customWidth="1"/>
    <col min="41" max="16384" width="9.140625" style="3"/>
  </cols>
  <sheetData>
    <row r="1" spans="1:39" ht="33" customHeight="1" x14ac:dyDescent="0.25">
      <c r="A1" s="2" t="s">
        <v>120</v>
      </c>
    </row>
    <row r="2" spans="1:39" s="1" customFormat="1" ht="15.75" customHeight="1" x14ac:dyDescent="0.25">
      <c r="A2" s="110" t="s">
        <v>121</v>
      </c>
      <c r="B2" s="111" t="s">
        <v>2</v>
      </c>
      <c r="C2" s="112" t="s">
        <v>122</v>
      </c>
      <c r="D2" s="111" t="s">
        <v>3</v>
      </c>
      <c r="E2" s="112" t="s">
        <v>123</v>
      </c>
      <c r="F2" s="112" t="s">
        <v>124</v>
      </c>
      <c r="G2" s="111" t="s">
        <v>4</v>
      </c>
      <c r="H2" s="112" t="s">
        <v>125</v>
      </c>
      <c r="I2" s="112" t="s">
        <v>126</v>
      </c>
      <c r="J2" s="111" t="s">
        <v>5</v>
      </c>
      <c r="K2" s="112" t="s">
        <v>127</v>
      </c>
      <c r="L2" s="112" t="s">
        <v>128</v>
      </c>
      <c r="M2" s="111" t="s">
        <v>6</v>
      </c>
      <c r="N2" s="112" t="s">
        <v>129</v>
      </c>
      <c r="O2" s="112" t="s">
        <v>130</v>
      </c>
      <c r="P2" s="111" t="s">
        <v>7</v>
      </c>
      <c r="Q2" s="112" t="s">
        <v>131</v>
      </c>
      <c r="R2" s="112" t="s">
        <v>132</v>
      </c>
      <c r="S2" s="111" t="s">
        <v>8</v>
      </c>
      <c r="T2" s="112" t="s">
        <v>133</v>
      </c>
      <c r="U2" s="112" t="s">
        <v>134</v>
      </c>
      <c r="V2" s="111" t="s">
        <v>9</v>
      </c>
      <c r="W2" s="112" t="s">
        <v>135</v>
      </c>
      <c r="X2" s="112" t="s">
        <v>136</v>
      </c>
      <c r="Y2" s="111" t="s">
        <v>10</v>
      </c>
      <c r="Z2" s="112" t="s">
        <v>137</v>
      </c>
      <c r="AA2" s="112" t="s">
        <v>138</v>
      </c>
      <c r="AB2" s="111" t="s">
        <v>11</v>
      </c>
      <c r="AC2" s="112" t="s">
        <v>139</v>
      </c>
      <c r="AD2" s="112" t="s">
        <v>140</v>
      </c>
      <c r="AE2" s="111" t="s">
        <v>12</v>
      </c>
      <c r="AF2" s="112" t="s">
        <v>141</v>
      </c>
      <c r="AG2" s="112" t="s">
        <v>142</v>
      </c>
      <c r="AH2" s="111" t="s">
        <v>13</v>
      </c>
      <c r="AI2" s="112" t="s">
        <v>143</v>
      </c>
      <c r="AJ2" s="112" t="s">
        <v>144</v>
      </c>
      <c r="AK2" s="32" t="s">
        <v>14</v>
      </c>
      <c r="AL2" s="112" t="s">
        <v>145</v>
      </c>
      <c r="AM2" s="32" t="s">
        <v>146</v>
      </c>
    </row>
    <row r="3" spans="1:39" x14ac:dyDescent="0.25">
      <c r="A3" s="26" t="s">
        <v>147</v>
      </c>
      <c r="B3" s="27">
        <f>B4+B9+B14+B19+B24+B28</f>
        <v>0</v>
      </c>
      <c r="C3" s="76" t="str">
        <f t="shared" ref="C3:C34" si="0">IFERROR(B3/$B$3,"")</f>
        <v/>
      </c>
      <c r="D3" s="27">
        <f>D4+D9+D14+D19+D24+D28</f>
        <v>0</v>
      </c>
      <c r="E3" s="76" t="str">
        <f t="shared" ref="E3:E34" si="1">IFERROR(D3/$D$3,"")</f>
        <v/>
      </c>
      <c r="F3" s="69" t="str">
        <f t="shared" ref="F3:F34" si="2">IFERROR((D3-B3)/B3,"")</f>
        <v/>
      </c>
      <c r="G3" s="27">
        <f>G4+G9+G14+G19+G24+G28</f>
        <v>0</v>
      </c>
      <c r="H3" s="76" t="str">
        <f t="shared" ref="H3:H34" si="3">IFERROR(G3/$G$3,"")</f>
        <v/>
      </c>
      <c r="I3" s="69" t="str">
        <f t="shared" ref="I3:I34" si="4">IFERROR((G3-D3)/D3,"")</f>
        <v/>
      </c>
      <c r="J3" s="27">
        <f>J4+J9+J14+J19+J24+J28</f>
        <v>0</v>
      </c>
      <c r="K3" s="76" t="str">
        <f t="shared" ref="K3:K34" si="5">IFERROR(J3/$J$3,"")</f>
        <v/>
      </c>
      <c r="L3" s="69" t="str">
        <f t="shared" ref="L3:L34" si="6">IFERROR((J3-G3)/G3,"")</f>
        <v/>
      </c>
      <c r="M3" s="27">
        <f>M4+M9+M14+M19+M24+M28</f>
        <v>0</v>
      </c>
      <c r="N3" s="76" t="str">
        <f t="shared" ref="N3:N34" si="7">IFERROR(M3/$M$3,"")</f>
        <v/>
      </c>
      <c r="O3" s="69" t="str">
        <f t="shared" ref="O3:O34" si="8">IFERROR((M3-J3)/J3,"")</f>
        <v/>
      </c>
      <c r="P3" s="27">
        <f>P4+P9+P14+P19+P24+P28</f>
        <v>0</v>
      </c>
      <c r="Q3" s="76" t="str">
        <f t="shared" ref="Q3:Q34" si="9">IFERROR(P3/$P$3,"")</f>
        <v/>
      </c>
      <c r="R3" s="69" t="str">
        <f t="shared" ref="R3:R34" si="10">IFERROR((P3-M3)/M3,"")</f>
        <v/>
      </c>
      <c r="S3" s="27">
        <f>S4+S9+S14+S19+S24+S28</f>
        <v>0</v>
      </c>
      <c r="T3" s="76" t="str">
        <f t="shared" ref="T3:T34" si="11">IFERROR(S3/$S$3,"")</f>
        <v/>
      </c>
      <c r="U3" s="69" t="str">
        <f t="shared" ref="U3:U34" si="12">IFERROR((S3-P3)/P3,"")</f>
        <v/>
      </c>
      <c r="V3" s="27">
        <f>V4+V9+V14+V19+V24+V28</f>
        <v>0</v>
      </c>
      <c r="W3" s="76" t="str">
        <f t="shared" ref="W3:W34" si="13">IFERROR(V3/$V$3,"")</f>
        <v/>
      </c>
      <c r="X3" s="69" t="str">
        <f t="shared" ref="X3:X34" si="14">IFERROR((V3-S3)/S3,"")</f>
        <v/>
      </c>
      <c r="Y3" s="27">
        <f>Y4+Y9+Y14+Y19+Y24+Y28</f>
        <v>0</v>
      </c>
      <c r="Z3" s="76" t="str">
        <f t="shared" ref="Z3:Z34" si="15">IFERROR(Y3/$Y$3,"")</f>
        <v/>
      </c>
      <c r="AA3" s="69" t="str">
        <f t="shared" ref="AA3:AA34" si="16">IFERROR((Y3-V3)/V3,"")</f>
        <v/>
      </c>
      <c r="AB3" s="27">
        <f>AB4+AB9+AB14+AB19+AB24+AB28</f>
        <v>0</v>
      </c>
      <c r="AC3" s="76" t="str">
        <f t="shared" ref="AC3:AC34" si="17">IFERROR(AB3/$AB$3,"")</f>
        <v/>
      </c>
      <c r="AD3" s="69" t="str">
        <f t="shared" ref="AD3:AD34" si="18">IFERROR((AB3-Y3)/Y3,"")</f>
        <v/>
      </c>
      <c r="AE3" s="27">
        <f>AE4+AE9+AE14+AE19+AE24+AE28</f>
        <v>0</v>
      </c>
      <c r="AF3" s="76" t="str">
        <f t="shared" ref="AF3:AF34" si="19">IFERROR(AE3/$AE$3,"")</f>
        <v/>
      </c>
      <c r="AG3" s="69" t="str">
        <f t="shared" ref="AG3:AG34" si="20">IFERROR((AE3-AB3)/AB3,"")</f>
        <v/>
      </c>
      <c r="AH3" s="27">
        <f>AH4+AH9+AH14+AH19+AH24+AH28</f>
        <v>0</v>
      </c>
      <c r="AI3" s="76" t="str">
        <f t="shared" ref="AI3:AI34" si="21">IFERROR(AH3/$AH$3,"")</f>
        <v/>
      </c>
      <c r="AJ3" s="69" t="str">
        <f t="shared" ref="AJ3:AJ34" si="22">IFERROR((AH3-AE3)/AE3,"")</f>
        <v/>
      </c>
      <c r="AK3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" s="76" t="str">
        <f t="shared" ref="AL3:AL34" si="23">IFERROR(AK3/$AK$3,"")</f>
        <v/>
      </c>
      <c r="AM3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4" spans="1:39" s="1" customFormat="1" outlineLevel="1" x14ac:dyDescent="0.25">
      <c r="A4" s="28" t="s">
        <v>148</v>
      </c>
      <c r="B4" s="29">
        <f>SUM(B5:B8)</f>
        <v>0</v>
      </c>
      <c r="C4" s="77" t="str">
        <f t="shared" si="0"/>
        <v/>
      </c>
      <c r="D4" s="29">
        <f>SUM(D5:D8)</f>
        <v>0</v>
      </c>
      <c r="E4" s="77" t="str">
        <f t="shared" si="1"/>
        <v/>
      </c>
      <c r="F4" s="69" t="str">
        <f t="shared" si="2"/>
        <v/>
      </c>
      <c r="G4" s="29">
        <f>SUM(G5:G8)</f>
        <v>0</v>
      </c>
      <c r="H4" s="77" t="str">
        <f t="shared" si="3"/>
        <v/>
      </c>
      <c r="I4" s="69" t="str">
        <f t="shared" si="4"/>
        <v/>
      </c>
      <c r="J4" s="29">
        <f>SUM(J5:J8)</f>
        <v>0</v>
      </c>
      <c r="K4" s="77" t="str">
        <f t="shared" si="5"/>
        <v/>
      </c>
      <c r="L4" s="69" t="str">
        <f t="shared" si="6"/>
        <v/>
      </c>
      <c r="M4" s="29">
        <f>SUM(M5:M8)</f>
        <v>0</v>
      </c>
      <c r="N4" s="77" t="str">
        <f t="shared" si="7"/>
        <v/>
      </c>
      <c r="O4" s="69" t="str">
        <f t="shared" si="8"/>
        <v/>
      </c>
      <c r="P4" s="29">
        <f>SUM(P5:P8)</f>
        <v>0</v>
      </c>
      <c r="Q4" s="77" t="str">
        <f t="shared" si="9"/>
        <v/>
      </c>
      <c r="R4" s="69" t="str">
        <f t="shared" si="10"/>
        <v/>
      </c>
      <c r="S4" s="29">
        <f>SUM(S5:S8)</f>
        <v>0</v>
      </c>
      <c r="T4" s="77" t="str">
        <f t="shared" si="11"/>
        <v/>
      </c>
      <c r="U4" s="69" t="str">
        <f t="shared" si="12"/>
        <v/>
      </c>
      <c r="V4" s="29">
        <f>SUM(V5:V8)</f>
        <v>0</v>
      </c>
      <c r="W4" s="77" t="str">
        <f t="shared" si="13"/>
        <v/>
      </c>
      <c r="X4" s="69" t="str">
        <f t="shared" si="14"/>
        <v/>
      </c>
      <c r="Y4" s="29">
        <f>SUM(Y5:Y8)</f>
        <v>0</v>
      </c>
      <c r="Z4" s="77" t="str">
        <f t="shared" si="15"/>
        <v/>
      </c>
      <c r="AA4" s="69" t="str">
        <f t="shared" si="16"/>
        <v/>
      </c>
      <c r="AB4" s="29">
        <f>SUM(AB5:AB8)</f>
        <v>0</v>
      </c>
      <c r="AC4" s="77" t="str">
        <f t="shared" si="17"/>
        <v/>
      </c>
      <c r="AD4" s="69" t="str">
        <f t="shared" si="18"/>
        <v/>
      </c>
      <c r="AE4" s="29">
        <f>SUM(AE5:AE8)</f>
        <v>0</v>
      </c>
      <c r="AF4" s="77" t="str">
        <f t="shared" si="19"/>
        <v/>
      </c>
      <c r="AG4" s="69" t="str">
        <f t="shared" si="20"/>
        <v/>
      </c>
      <c r="AH4" s="29">
        <f>SUM(AH5:AH8)</f>
        <v>0</v>
      </c>
      <c r="AI4" s="77" t="str">
        <f t="shared" si="21"/>
        <v/>
      </c>
      <c r="AJ4" s="69" t="str">
        <f t="shared" si="22"/>
        <v/>
      </c>
      <c r="AK4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" s="77" t="str">
        <f t="shared" si="23"/>
        <v/>
      </c>
      <c r="AM4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5" spans="1:39" outlineLevel="1" x14ac:dyDescent="0.25">
      <c r="A5" s="30" t="s">
        <v>149</v>
      </c>
      <c r="B5" s="31"/>
      <c r="C5" s="78" t="str">
        <f t="shared" si="0"/>
        <v/>
      </c>
      <c r="D5" s="31"/>
      <c r="E5" s="78" t="str">
        <f t="shared" si="1"/>
        <v/>
      </c>
      <c r="F5" s="69" t="str">
        <f t="shared" si="2"/>
        <v/>
      </c>
      <c r="G5" s="31"/>
      <c r="H5" s="78" t="str">
        <f t="shared" si="3"/>
        <v/>
      </c>
      <c r="I5" s="69" t="str">
        <f t="shared" si="4"/>
        <v/>
      </c>
      <c r="J5" s="31"/>
      <c r="K5" s="78" t="str">
        <f t="shared" si="5"/>
        <v/>
      </c>
      <c r="L5" s="69" t="str">
        <f t="shared" si="6"/>
        <v/>
      </c>
      <c r="M5" s="31"/>
      <c r="N5" s="78" t="str">
        <f t="shared" si="7"/>
        <v/>
      </c>
      <c r="O5" s="69" t="str">
        <f t="shared" si="8"/>
        <v/>
      </c>
      <c r="P5" s="31"/>
      <c r="Q5" s="78" t="str">
        <f t="shared" si="9"/>
        <v/>
      </c>
      <c r="R5" s="69" t="str">
        <f t="shared" si="10"/>
        <v/>
      </c>
      <c r="S5" s="31"/>
      <c r="T5" s="78" t="str">
        <f t="shared" si="11"/>
        <v/>
      </c>
      <c r="U5" s="69" t="str">
        <f t="shared" si="12"/>
        <v/>
      </c>
      <c r="V5" s="31"/>
      <c r="W5" s="78" t="str">
        <f t="shared" si="13"/>
        <v/>
      </c>
      <c r="X5" s="69" t="str">
        <f t="shared" si="14"/>
        <v/>
      </c>
      <c r="Y5" s="31"/>
      <c r="Z5" s="78" t="str">
        <f t="shared" si="15"/>
        <v/>
      </c>
      <c r="AA5" s="69" t="str">
        <f t="shared" si="16"/>
        <v/>
      </c>
      <c r="AB5" s="31"/>
      <c r="AC5" s="78" t="str">
        <f t="shared" si="17"/>
        <v/>
      </c>
      <c r="AD5" s="69" t="str">
        <f t="shared" si="18"/>
        <v/>
      </c>
      <c r="AE5" s="31"/>
      <c r="AF5" s="78" t="str">
        <f t="shared" si="19"/>
        <v/>
      </c>
      <c r="AG5" s="69" t="str">
        <f t="shared" si="20"/>
        <v/>
      </c>
      <c r="AH5" s="31"/>
      <c r="AI5" s="78" t="str">
        <f t="shared" si="21"/>
        <v/>
      </c>
      <c r="AJ5" s="69" t="str">
        <f t="shared" si="22"/>
        <v/>
      </c>
      <c r="AK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" s="78" t="str">
        <f t="shared" si="23"/>
        <v/>
      </c>
      <c r="AM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" spans="1:39" outlineLevel="1" x14ac:dyDescent="0.25">
      <c r="A6" s="30" t="s">
        <v>150</v>
      </c>
      <c r="B6" s="31"/>
      <c r="C6" s="78" t="str">
        <f t="shared" si="0"/>
        <v/>
      </c>
      <c r="D6" s="31"/>
      <c r="E6" s="78" t="str">
        <f t="shared" si="1"/>
        <v/>
      </c>
      <c r="F6" s="69" t="str">
        <f t="shared" si="2"/>
        <v/>
      </c>
      <c r="G6" s="31"/>
      <c r="H6" s="78" t="str">
        <f t="shared" si="3"/>
        <v/>
      </c>
      <c r="I6" s="69" t="str">
        <f t="shared" si="4"/>
        <v/>
      </c>
      <c r="J6" s="31"/>
      <c r="K6" s="78" t="str">
        <f t="shared" si="5"/>
        <v/>
      </c>
      <c r="L6" s="69" t="str">
        <f t="shared" si="6"/>
        <v/>
      </c>
      <c r="M6" s="31"/>
      <c r="N6" s="78" t="str">
        <f t="shared" si="7"/>
        <v/>
      </c>
      <c r="O6" s="69" t="str">
        <f t="shared" si="8"/>
        <v/>
      </c>
      <c r="P6" s="31"/>
      <c r="Q6" s="78" t="str">
        <f t="shared" si="9"/>
        <v/>
      </c>
      <c r="R6" s="69" t="str">
        <f t="shared" si="10"/>
        <v/>
      </c>
      <c r="S6" s="31"/>
      <c r="T6" s="78" t="str">
        <f t="shared" si="11"/>
        <v/>
      </c>
      <c r="U6" s="69" t="str">
        <f t="shared" si="12"/>
        <v/>
      </c>
      <c r="V6" s="31"/>
      <c r="W6" s="78" t="str">
        <f t="shared" si="13"/>
        <v/>
      </c>
      <c r="X6" s="69" t="str">
        <f t="shared" si="14"/>
        <v/>
      </c>
      <c r="Y6" s="31"/>
      <c r="Z6" s="78" t="str">
        <f t="shared" si="15"/>
        <v/>
      </c>
      <c r="AA6" s="69" t="str">
        <f t="shared" si="16"/>
        <v/>
      </c>
      <c r="AB6" s="31"/>
      <c r="AC6" s="78" t="str">
        <f t="shared" si="17"/>
        <v/>
      </c>
      <c r="AD6" s="69" t="str">
        <f t="shared" si="18"/>
        <v/>
      </c>
      <c r="AE6" s="31"/>
      <c r="AF6" s="78" t="str">
        <f t="shared" si="19"/>
        <v/>
      </c>
      <c r="AG6" s="69" t="str">
        <f t="shared" si="20"/>
        <v/>
      </c>
      <c r="AH6" s="31"/>
      <c r="AI6" s="78" t="str">
        <f t="shared" si="21"/>
        <v/>
      </c>
      <c r="AJ6" s="69" t="str">
        <f t="shared" si="22"/>
        <v/>
      </c>
      <c r="AK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" s="78" t="str">
        <f t="shared" si="23"/>
        <v/>
      </c>
      <c r="AM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" spans="1:39" outlineLevel="1" x14ac:dyDescent="0.25">
      <c r="A7" s="30" t="s">
        <v>151</v>
      </c>
      <c r="B7" s="31"/>
      <c r="C7" s="78" t="str">
        <f t="shared" si="0"/>
        <v/>
      </c>
      <c r="D7" s="31"/>
      <c r="E7" s="78" t="str">
        <f t="shared" si="1"/>
        <v/>
      </c>
      <c r="F7" s="69" t="str">
        <f t="shared" si="2"/>
        <v/>
      </c>
      <c r="G7" s="31"/>
      <c r="H7" s="78" t="str">
        <f t="shared" si="3"/>
        <v/>
      </c>
      <c r="I7" s="69" t="str">
        <f t="shared" si="4"/>
        <v/>
      </c>
      <c r="J7" s="31"/>
      <c r="K7" s="78" t="str">
        <f t="shared" si="5"/>
        <v/>
      </c>
      <c r="L7" s="69" t="str">
        <f t="shared" si="6"/>
        <v/>
      </c>
      <c r="M7" s="31"/>
      <c r="N7" s="78" t="str">
        <f t="shared" si="7"/>
        <v/>
      </c>
      <c r="O7" s="69" t="str">
        <f t="shared" si="8"/>
        <v/>
      </c>
      <c r="P7" s="31"/>
      <c r="Q7" s="78" t="str">
        <f t="shared" si="9"/>
        <v/>
      </c>
      <c r="R7" s="69" t="str">
        <f t="shared" si="10"/>
        <v/>
      </c>
      <c r="S7" s="31"/>
      <c r="T7" s="78" t="str">
        <f t="shared" si="11"/>
        <v/>
      </c>
      <c r="U7" s="69" t="str">
        <f t="shared" si="12"/>
        <v/>
      </c>
      <c r="V7" s="31"/>
      <c r="W7" s="78" t="str">
        <f t="shared" si="13"/>
        <v/>
      </c>
      <c r="X7" s="69" t="str">
        <f t="shared" si="14"/>
        <v/>
      </c>
      <c r="Y7" s="31"/>
      <c r="Z7" s="78" t="str">
        <f t="shared" si="15"/>
        <v/>
      </c>
      <c r="AA7" s="69" t="str">
        <f t="shared" si="16"/>
        <v/>
      </c>
      <c r="AB7" s="31"/>
      <c r="AC7" s="78" t="str">
        <f t="shared" si="17"/>
        <v/>
      </c>
      <c r="AD7" s="69" t="str">
        <f t="shared" si="18"/>
        <v/>
      </c>
      <c r="AE7" s="31"/>
      <c r="AF7" s="78" t="str">
        <f t="shared" si="19"/>
        <v/>
      </c>
      <c r="AG7" s="69" t="str">
        <f t="shared" si="20"/>
        <v/>
      </c>
      <c r="AH7" s="31"/>
      <c r="AI7" s="78" t="str">
        <f t="shared" si="21"/>
        <v/>
      </c>
      <c r="AJ7" s="69" t="str">
        <f t="shared" si="22"/>
        <v/>
      </c>
      <c r="AK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" s="78" t="str">
        <f t="shared" si="23"/>
        <v/>
      </c>
      <c r="AM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8" spans="1:39" s="1" customFormat="1" outlineLevel="1" x14ac:dyDescent="0.25">
      <c r="A8" s="30"/>
      <c r="B8" s="31"/>
      <c r="C8" s="78" t="str">
        <f t="shared" si="0"/>
        <v/>
      </c>
      <c r="D8" s="31"/>
      <c r="E8" s="78" t="str">
        <f t="shared" si="1"/>
        <v/>
      </c>
      <c r="F8" s="69" t="str">
        <f t="shared" si="2"/>
        <v/>
      </c>
      <c r="G8" s="31"/>
      <c r="H8" s="78" t="str">
        <f t="shared" si="3"/>
        <v/>
      </c>
      <c r="I8" s="69" t="str">
        <f t="shared" si="4"/>
        <v/>
      </c>
      <c r="J8" s="31"/>
      <c r="K8" s="78" t="str">
        <f t="shared" si="5"/>
        <v/>
      </c>
      <c r="L8" s="69" t="str">
        <f t="shared" si="6"/>
        <v/>
      </c>
      <c r="M8" s="31"/>
      <c r="N8" s="78" t="str">
        <f t="shared" si="7"/>
        <v/>
      </c>
      <c r="O8" s="69" t="str">
        <f t="shared" si="8"/>
        <v/>
      </c>
      <c r="P8" s="31"/>
      <c r="Q8" s="78" t="str">
        <f t="shared" si="9"/>
        <v/>
      </c>
      <c r="R8" s="69" t="str">
        <f t="shared" si="10"/>
        <v/>
      </c>
      <c r="S8" s="31"/>
      <c r="T8" s="78" t="str">
        <f t="shared" si="11"/>
        <v/>
      </c>
      <c r="U8" s="69" t="str">
        <f t="shared" si="12"/>
        <v/>
      </c>
      <c r="V8" s="31"/>
      <c r="W8" s="78" t="str">
        <f t="shared" si="13"/>
        <v/>
      </c>
      <c r="X8" s="69" t="str">
        <f t="shared" si="14"/>
        <v/>
      </c>
      <c r="Y8" s="31"/>
      <c r="Z8" s="78" t="str">
        <f t="shared" si="15"/>
        <v/>
      </c>
      <c r="AA8" s="69" t="str">
        <f t="shared" si="16"/>
        <v/>
      </c>
      <c r="AB8" s="31"/>
      <c r="AC8" s="78" t="str">
        <f t="shared" si="17"/>
        <v/>
      </c>
      <c r="AD8" s="69" t="str">
        <f t="shared" si="18"/>
        <v/>
      </c>
      <c r="AE8" s="31"/>
      <c r="AF8" s="78" t="str">
        <f t="shared" si="19"/>
        <v/>
      </c>
      <c r="AG8" s="69" t="str">
        <f t="shared" si="20"/>
        <v/>
      </c>
      <c r="AH8" s="31"/>
      <c r="AI8" s="78" t="str">
        <f t="shared" si="21"/>
        <v/>
      </c>
      <c r="AJ8" s="69" t="str">
        <f t="shared" si="22"/>
        <v/>
      </c>
      <c r="AK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" s="78" t="str">
        <f t="shared" si="23"/>
        <v/>
      </c>
      <c r="AM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" spans="1:39" outlineLevel="1" x14ac:dyDescent="0.25">
      <c r="A9" s="28" t="s">
        <v>152</v>
      </c>
      <c r="B9" s="29">
        <f>SUM(B10:B13)</f>
        <v>0</v>
      </c>
      <c r="C9" s="77" t="str">
        <f t="shared" si="0"/>
        <v/>
      </c>
      <c r="D9" s="29">
        <f>SUM(D10:D13)</f>
        <v>0</v>
      </c>
      <c r="E9" s="77" t="str">
        <f t="shared" si="1"/>
        <v/>
      </c>
      <c r="F9" s="69" t="str">
        <f t="shared" si="2"/>
        <v/>
      </c>
      <c r="G9" s="29">
        <f>SUM(G10:G13)</f>
        <v>0</v>
      </c>
      <c r="H9" s="77" t="str">
        <f t="shared" si="3"/>
        <v/>
      </c>
      <c r="I9" s="69" t="str">
        <f t="shared" si="4"/>
        <v/>
      </c>
      <c r="J9" s="29">
        <f>SUM(J10:J13)</f>
        <v>0</v>
      </c>
      <c r="K9" s="77" t="str">
        <f t="shared" si="5"/>
        <v/>
      </c>
      <c r="L9" s="69" t="str">
        <f t="shared" si="6"/>
        <v/>
      </c>
      <c r="M9" s="29">
        <f>SUM(M10:M13)</f>
        <v>0</v>
      </c>
      <c r="N9" s="77" t="str">
        <f t="shared" si="7"/>
        <v/>
      </c>
      <c r="O9" s="69" t="str">
        <f t="shared" si="8"/>
        <v/>
      </c>
      <c r="P9" s="29">
        <f>SUM(P10:P13)</f>
        <v>0</v>
      </c>
      <c r="Q9" s="77" t="str">
        <f t="shared" si="9"/>
        <v/>
      </c>
      <c r="R9" s="69" t="str">
        <f t="shared" si="10"/>
        <v/>
      </c>
      <c r="S9" s="29">
        <f>SUM(S10:S13)</f>
        <v>0</v>
      </c>
      <c r="T9" s="77" t="str">
        <f t="shared" si="11"/>
        <v/>
      </c>
      <c r="U9" s="69" t="str">
        <f t="shared" si="12"/>
        <v/>
      </c>
      <c r="V9" s="29">
        <f>SUM(V10:V13)</f>
        <v>0</v>
      </c>
      <c r="W9" s="77" t="str">
        <f t="shared" si="13"/>
        <v/>
      </c>
      <c r="X9" s="69" t="str">
        <f t="shared" si="14"/>
        <v/>
      </c>
      <c r="Y9" s="29">
        <f>SUM(Y10:Y13)</f>
        <v>0</v>
      </c>
      <c r="Z9" s="77" t="str">
        <f t="shared" si="15"/>
        <v/>
      </c>
      <c r="AA9" s="69" t="str">
        <f t="shared" si="16"/>
        <v/>
      </c>
      <c r="AB9" s="29">
        <f>SUM(AB10:AB13)</f>
        <v>0</v>
      </c>
      <c r="AC9" s="77" t="str">
        <f t="shared" si="17"/>
        <v/>
      </c>
      <c r="AD9" s="69" t="str">
        <f t="shared" si="18"/>
        <v/>
      </c>
      <c r="AE9" s="29">
        <f>SUM(AE10:AE13)</f>
        <v>0</v>
      </c>
      <c r="AF9" s="77" t="str">
        <f t="shared" si="19"/>
        <v/>
      </c>
      <c r="AG9" s="69" t="str">
        <f t="shared" si="20"/>
        <v/>
      </c>
      <c r="AH9" s="29">
        <f>SUM(AH10:AH13)</f>
        <v>0</v>
      </c>
      <c r="AI9" s="77" t="str">
        <f t="shared" si="21"/>
        <v/>
      </c>
      <c r="AJ9" s="69" t="str">
        <f t="shared" si="22"/>
        <v/>
      </c>
      <c r="AK9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" s="77" t="str">
        <f t="shared" si="23"/>
        <v/>
      </c>
      <c r="AM9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0" spans="1:39" s="1" customFormat="1" outlineLevel="1" x14ac:dyDescent="0.25">
      <c r="A10" s="30" t="s">
        <v>153</v>
      </c>
      <c r="B10" s="31"/>
      <c r="C10" s="78" t="str">
        <f t="shared" si="0"/>
        <v/>
      </c>
      <c r="D10" s="31"/>
      <c r="E10" s="78" t="str">
        <f t="shared" si="1"/>
        <v/>
      </c>
      <c r="F10" s="69" t="str">
        <f t="shared" si="2"/>
        <v/>
      </c>
      <c r="G10" s="31"/>
      <c r="H10" s="78" t="str">
        <f t="shared" si="3"/>
        <v/>
      </c>
      <c r="I10" s="69" t="str">
        <f t="shared" si="4"/>
        <v/>
      </c>
      <c r="J10" s="31"/>
      <c r="K10" s="78" t="str">
        <f t="shared" si="5"/>
        <v/>
      </c>
      <c r="L10" s="69" t="str">
        <f t="shared" si="6"/>
        <v/>
      </c>
      <c r="M10" s="31"/>
      <c r="N10" s="78" t="str">
        <f t="shared" si="7"/>
        <v/>
      </c>
      <c r="O10" s="69" t="str">
        <f t="shared" si="8"/>
        <v/>
      </c>
      <c r="P10" s="31"/>
      <c r="Q10" s="78" t="str">
        <f t="shared" si="9"/>
        <v/>
      </c>
      <c r="R10" s="69" t="str">
        <f t="shared" si="10"/>
        <v/>
      </c>
      <c r="S10" s="31"/>
      <c r="T10" s="78" t="str">
        <f t="shared" si="11"/>
        <v/>
      </c>
      <c r="U10" s="69" t="str">
        <f t="shared" si="12"/>
        <v/>
      </c>
      <c r="V10" s="31"/>
      <c r="W10" s="78" t="str">
        <f t="shared" si="13"/>
        <v/>
      </c>
      <c r="X10" s="69" t="str">
        <f t="shared" si="14"/>
        <v/>
      </c>
      <c r="Y10" s="31"/>
      <c r="Z10" s="78" t="str">
        <f t="shared" si="15"/>
        <v/>
      </c>
      <c r="AA10" s="69" t="str">
        <f t="shared" si="16"/>
        <v/>
      </c>
      <c r="AB10" s="31"/>
      <c r="AC10" s="78" t="str">
        <f t="shared" si="17"/>
        <v/>
      </c>
      <c r="AD10" s="69" t="str">
        <f t="shared" si="18"/>
        <v/>
      </c>
      <c r="AE10" s="31"/>
      <c r="AF10" s="78" t="str">
        <f t="shared" si="19"/>
        <v/>
      </c>
      <c r="AG10" s="69" t="str">
        <f t="shared" si="20"/>
        <v/>
      </c>
      <c r="AH10" s="31"/>
      <c r="AI10" s="78" t="str">
        <f t="shared" si="21"/>
        <v/>
      </c>
      <c r="AJ10" s="69" t="str">
        <f t="shared" si="22"/>
        <v/>
      </c>
      <c r="AK1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" s="78" t="str">
        <f t="shared" si="23"/>
        <v/>
      </c>
      <c r="AM1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" spans="1:39" s="1" customFormat="1" outlineLevel="1" x14ac:dyDescent="0.25">
      <c r="A11" s="30" t="s">
        <v>154</v>
      </c>
      <c r="B11" s="31"/>
      <c r="C11" s="78" t="str">
        <f t="shared" si="0"/>
        <v/>
      </c>
      <c r="D11" s="31"/>
      <c r="E11" s="78" t="str">
        <f t="shared" si="1"/>
        <v/>
      </c>
      <c r="F11" s="69" t="str">
        <f t="shared" si="2"/>
        <v/>
      </c>
      <c r="G11" s="31"/>
      <c r="H11" s="78" t="str">
        <f t="shared" si="3"/>
        <v/>
      </c>
      <c r="I11" s="69" t="str">
        <f t="shared" si="4"/>
        <v/>
      </c>
      <c r="J11" s="31"/>
      <c r="K11" s="78" t="str">
        <f t="shared" si="5"/>
        <v/>
      </c>
      <c r="L11" s="69" t="str">
        <f t="shared" si="6"/>
        <v/>
      </c>
      <c r="M11" s="31"/>
      <c r="N11" s="78" t="str">
        <f t="shared" si="7"/>
        <v/>
      </c>
      <c r="O11" s="69" t="str">
        <f t="shared" si="8"/>
        <v/>
      </c>
      <c r="P11" s="31"/>
      <c r="Q11" s="78" t="str">
        <f t="shared" si="9"/>
        <v/>
      </c>
      <c r="R11" s="69" t="str">
        <f t="shared" si="10"/>
        <v/>
      </c>
      <c r="S11" s="31"/>
      <c r="T11" s="78" t="str">
        <f t="shared" si="11"/>
        <v/>
      </c>
      <c r="U11" s="69" t="str">
        <f t="shared" si="12"/>
        <v/>
      </c>
      <c r="V11" s="31"/>
      <c r="W11" s="78" t="str">
        <f t="shared" si="13"/>
        <v/>
      </c>
      <c r="X11" s="69" t="str">
        <f t="shared" si="14"/>
        <v/>
      </c>
      <c r="Y11" s="31"/>
      <c r="Z11" s="78" t="str">
        <f t="shared" si="15"/>
        <v/>
      </c>
      <c r="AA11" s="69" t="str">
        <f t="shared" si="16"/>
        <v/>
      </c>
      <c r="AB11" s="31"/>
      <c r="AC11" s="78" t="str">
        <f t="shared" si="17"/>
        <v/>
      </c>
      <c r="AD11" s="69" t="str">
        <f t="shared" si="18"/>
        <v/>
      </c>
      <c r="AE11" s="31"/>
      <c r="AF11" s="78" t="str">
        <f t="shared" si="19"/>
        <v/>
      </c>
      <c r="AG11" s="69" t="str">
        <f t="shared" si="20"/>
        <v/>
      </c>
      <c r="AH11" s="31"/>
      <c r="AI11" s="78" t="str">
        <f t="shared" si="21"/>
        <v/>
      </c>
      <c r="AJ11" s="69" t="str">
        <f t="shared" si="22"/>
        <v/>
      </c>
      <c r="AK1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" s="78" t="str">
        <f t="shared" si="23"/>
        <v/>
      </c>
      <c r="AM1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" spans="1:39" s="1" customFormat="1" outlineLevel="1" x14ac:dyDescent="0.25">
      <c r="A12" s="30" t="s">
        <v>155</v>
      </c>
      <c r="B12" s="31"/>
      <c r="C12" s="78" t="str">
        <f t="shared" si="0"/>
        <v/>
      </c>
      <c r="D12" s="31"/>
      <c r="E12" s="78" t="str">
        <f t="shared" si="1"/>
        <v/>
      </c>
      <c r="F12" s="69" t="str">
        <f t="shared" si="2"/>
        <v/>
      </c>
      <c r="G12" s="31"/>
      <c r="H12" s="78" t="str">
        <f t="shared" si="3"/>
        <v/>
      </c>
      <c r="I12" s="69" t="str">
        <f t="shared" si="4"/>
        <v/>
      </c>
      <c r="J12" s="31"/>
      <c r="K12" s="78" t="str">
        <f t="shared" si="5"/>
        <v/>
      </c>
      <c r="L12" s="69" t="str">
        <f t="shared" si="6"/>
        <v/>
      </c>
      <c r="M12" s="31"/>
      <c r="N12" s="78" t="str">
        <f t="shared" si="7"/>
        <v/>
      </c>
      <c r="O12" s="69" t="str">
        <f t="shared" si="8"/>
        <v/>
      </c>
      <c r="P12" s="31"/>
      <c r="Q12" s="78" t="str">
        <f t="shared" si="9"/>
        <v/>
      </c>
      <c r="R12" s="69" t="str">
        <f t="shared" si="10"/>
        <v/>
      </c>
      <c r="S12" s="31"/>
      <c r="T12" s="78" t="str">
        <f t="shared" si="11"/>
        <v/>
      </c>
      <c r="U12" s="69" t="str">
        <f t="shared" si="12"/>
        <v/>
      </c>
      <c r="V12" s="31"/>
      <c r="W12" s="78" t="str">
        <f t="shared" si="13"/>
        <v/>
      </c>
      <c r="X12" s="69" t="str">
        <f t="shared" si="14"/>
        <v/>
      </c>
      <c r="Y12" s="31"/>
      <c r="Z12" s="78" t="str">
        <f t="shared" si="15"/>
        <v/>
      </c>
      <c r="AA12" s="69" t="str">
        <f t="shared" si="16"/>
        <v/>
      </c>
      <c r="AB12" s="31"/>
      <c r="AC12" s="78" t="str">
        <f t="shared" si="17"/>
        <v/>
      </c>
      <c r="AD12" s="69" t="str">
        <f t="shared" si="18"/>
        <v/>
      </c>
      <c r="AE12" s="31"/>
      <c r="AF12" s="78" t="str">
        <f t="shared" si="19"/>
        <v/>
      </c>
      <c r="AG12" s="69" t="str">
        <f t="shared" si="20"/>
        <v/>
      </c>
      <c r="AH12" s="31"/>
      <c r="AI12" s="78" t="str">
        <f t="shared" si="21"/>
        <v/>
      </c>
      <c r="AJ12" s="69" t="str">
        <f t="shared" si="22"/>
        <v/>
      </c>
      <c r="AK1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" s="78" t="str">
        <f t="shared" si="23"/>
        <v/>
      </c>
      <c r="AM1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" spans="1:39" s="1" customFormat="1" outlineLevel="1" x14ac:dyDescent="0.25">
      <c r="A13" s="30"/>
      <c r="B13" s="31"/>
      <c r="C13" s="78" t="str">
        <f t="shared" si="0"/>
        <v/>
      </c>
      <c r="D13" s="31"/>
      <c r="E13" s="78" t="str">
        <f t="shared" si="1"/>
        <v/>
      </c>
      <c r="F13" s="69" t="str">
        <f t="shared" si="2"/>
        <v/>
      </c>
      <c r="G13" s="31"/>
      <c r="H13" s="78" t="str">
        <f t="shared" si="3"/>
        <v/>
      </c>
      <c r="I13" s="69" t="str">
        <f t="shared" si="4"/>
        <v/>
      </c>
      <c r="J13" s="31"/>
      <c r="K13" s="78" t="str">
        <f t="shared" si="5"/>
        <v/>
      </c>
      <c r="L13" s="69" t="str">
        <f t="shared" si="6"/>
        <v/>
      </c>
      <c r="M13" s="31"/>
      <c r="N13" s="78" t="str">
        <f t="shared" si="7"/>
        <v/>
      </c>
      <c r="O13" s="69" t="str">
        <f t="shared" si="8"/>
        <v/>
      </c>
      <c r="P13" s="31"/>
      <c r="Q13" s="78" t="str">
        <f t="shared" si="9"/>
        <v/>
      </c>
      <c r="R13" s="69" t="str">
        <f t="shared" si="10"/>
        <v/>
      </c>
      <c r="S13" s="31"/>
      <c r="T13" s="78" t="str">
        <f t="shared" si="11"/>
        <v/>
      </c>
      <c r="U13" s="69" t="str">
        <f t="shared" si="12"/>
        <v/>
      </c>
      <c r="V13" s="31"/>
      <c r="W13" s="78" t="str">
        <f t="shared" si="13"/>
        <v/>
      </c>
      <c r="X13" s="69" t="str">
        <f t="shared" si="14"/>
        <v/>
      </c>
      <c r="Y13" s="31"/>
      <c r="Z13" s="78" t="str">
        <f t="shared" si="15"/>
        <v/>
      </c>
      <c r="AA13" s="69" t="str">
        <f t="shared" si="16"/>
        <v/>
      </c>
      <c r="AB13" s="31"/>
      <c r="AC13" s="78" t="str">
        <f t="shared" si="17"/>
        <v/>
      </c>
      <c r="AD13" s="69" t="str">
        <f t="shared" si="18"/>
        <v/>
      </c>
      <c r="AE13" s="31"/>
      <c r="AF13" s="78" t="str">
        <f t="shared" si="19"/>
        <v/>
      </c>
      <c r="AG13" s="69" t="str">
        <f t="shared" si="20"/>
        <v/>
      </c>
      <c r="AH13" s="31"/>
      <c r="AI13" s="78" t="str">
        <f t="shared" si="21"/>
        <v/>
      </c>
      <c r="AJ13" s="69" t="str">
        <f t="shared" si="22"/>
        <v/>
      </c>
      <c r="AK1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" s="78" t="str">
        <f t="shared" si="23"/>
        <v/>
      </c>
      <c r="AM1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" spans="1:39" outlineLevel="1" x14ac:dyDescent="0.25">
      <c r="A14" s="28" t="s">
        <v>156</v>
      </c>
      <c r="B14" s="29">
        <f>SUM(B15:B18)</f>
        <v>0</v>
      </c>
      <c r="C14" s="77" t="str">
        <f t="shared" si="0"/>
        <v/>
      </c>
      <c r="D14" s="29">
        <f>SUM(D15:D18)</f>
        <v>0</v>
      </c>
      <c r="E14" s="77" t="str">
        <f t="shared" si="1"/>
        <v/>
      </c>
      <c r="F14" s="69" t="str">
        <f t="shared" si="2"/>
        <v/>
      </c>
      <c r="G14" s="29">
        <f>SUM(G15:G18)</f>
        <v>0</v>
      </c>
      <c r="H14" s="77" t="str">
        <f t="shared" si="3"/>
        <v/>
      </c>
      <c r="I14" s="69" t="str">
        <f t="shared" si="4"/>
        <v/>
      </c>
      <c r="J14" s="29">
        <f>SUM(J15:J18)</f>
        <v>0</v>
      </c>
      <c r="K14" s="77" t="str">
        <f t="shared" si="5"/>
        <v/>
      </c>
      <c r="L14" s="69" t="str">
        <f t="shared" si="6"/>
        <v/>
      </c>
      <c r="M14" s="29">
        <f>SUM(M15:M18)</f>
        <v>0</v>
      </c>
      <c r="N14" s="77" t="str">
        <f t="shared" si="7"/>
        <v/>
      </c>
      <c r="O14" s="69" t="str">
        <f t="shared" si="8"/>
        <v/>
      </c>
      <c r="P14" s="29">
        <f>SUM(P15:P18)</f>
        <v>0</v>
      </c>
      <c r="Q14" s="77" t="str">
        <f t="shared" si="9"/>
        <v/>
      </c>
      <c r="R14" s="69" t="str">
        <f t="shared" si="10"/>
        <v/>
      </c>
      <c r="S14" s="29">
        <f>SUM(S15:S18)</f>
        <v>0</v>
      </c>
      <c r="T14" s="77" t="str">
        <f t="shared" si="11"/>
        <v/>
      </c>
      <c r="U14" s="69" t="str">
        <f t="shared" si="12"/>
        <v/>
      </c>
      <c r="V14" s="29">
        <f>SUM(V15:V18)</f>
        <v>0</v>
      </c>
      <c r="W14" s="77" t="str">
        <f t="shared" si="13"/>
        <v/>
      </c>
      <c r="X14" s="69" t="str">
        <f t="shared" si="14"/>
        <v/>
      </c>
      <c r="Y14" s="29">
        <f>SUM(Y15:Y18)</f>
        <v>0</v>
      </c>
      <c r="Z14" s="77" t="str">
        <f t="shared" si="15"/>
        <v/>
      </c>
      <c r="AA14" s="69" t="str">
        <f t="shared" si="16"/>
        <v/>
      </c>
      <c r="AB14" s="29">
        <f>SUM(AB15:AB18)</f>
        <v>0</v>
      </c>
      <c r="AC14" s="77" t="str">
        <f t="shared" si="17"/>
        <v/>
      </c>
      <c r="AD14" s="69" t="str">
        <f t="shared" si="18"/>
        <v/>
      </c>
      <c r="AE14" s="29">
        <f>SUM(AE15:AE18)</f>
        <v>0</v>
      </c>
      <c r="AF14" s="77" t="str">
        <f t="shared" si="19"/>
        <v/>
      </c>
      <c r="AG14" s="69" t="str">
        <f t="shared" si="20"/>
        <v/>
      </c>
      <c r="AH14" s="29">
        <f>SUM(AH15:AH18)</f>
        <v>0</v>
      </c>
      <c r="AI14" s="77" t="str">
        <f t="shared" si="21"/>
        <v/>
      </c>
      <c r="AJ14" s="69" t="str">
        <f t="shared" si="22"/>
        <v/>
      </c>
      <c r="AK14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" s="77" t="str">
        <f t="shared" si="23"/>
        <v/>
      </c>
      <c r="AM14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5" spans="1:39" outlineLevel="1" x14ac:dyDescent="0.25">
      <c r="A15" s="30" t="s">
        <v>157</v>
      </c>
      <c r="B15" s="31"/>
      <c r="C15" s="78" t="str">
        <f t="shared" si="0"/>
        <v/>
      </c>
      <c r="D15" s="31"/>
      <c r="E15" s="78" t="str">
        <f t="shared" si="1"/>
        <v/>
      </c>
      <c r="F15" s="69" t="str">
        <f t="shared" si="2"/>
        <v/>
      </c>
      <c r="G15" s="31"/>
      <c r="H15" s="78" t="str">
        <f t="shared" si="3"/>
        <v/>
      </c>
      <c r="I15" s="69" t="str">
        <f t="shared" si="4"/>
        <v/>
      </c>
      <c r="J15" s="31"/>
      <c r="K15" s="78" t="str">
        <f t="shared" si="5"/>
        <v/>
      </c>
      <c r="L15" s="69" t="str">
        <f t="shared" si="6"/>
        <v/>
      </c>
      <c r="M15" s="31"/>
      <c r="N15" s="78" t="str">
        <f t="shared" si="7"/>
        <v/>
      </c>
      <c r="O15" s="69" t="str">
        <f t="shared" si="8"/>
        <v/>
      </c>
      <c r="P15" s="31"/>
      <c r="Q15" s="78" t="str">
        <f t="shared" si="9"/>
        <v/>
      </c>
      <c r="R15" s="69" t="str">
        <f t="shared" si="10"/>
        <v/>
      </c>
      <c r="S15" s="31"/>
      <c r="T15" s="78" t="str">
        <f t="shared" si="11"/>
        <v/>
      </c>
      <c r="U15" s="69" t="str">
        <f t="shared" si="12"/>
        <v/>
      </c>
      <c r="V15" s="31"/>
      <c r="W15" s="78" t="str">
        <f t="shared" si="13"/>
        <v/>
      </c>
      <c r="X15" s="69" t="str">
        <f t="shared" si="14"/>
        <v/>
      </c>
      <c r="Y15" s="31"/>
      <c r="Z15" s="78" t="str">
        <f t="shared" si="15"/>
        <v/>
      </c>
      <c r="AA15" s="69" t="str">
        <f t="shared" si="16"/>
        <v/>
      </c>
      <c r="AB15" s="31"/>
      <c r="AC15" s="78" t="str">
        <f t="shared" si="17"/>
        <v/>
      </c>
      <c r="AD15" s="69" t="str">
        <f t="shared" si="18"/>
        <v/>
      </c>
      <c r="AE15" s="31"/>
      <c r="AF15" s="78" t="str">
        <f t="shared" si="19"/>
        <v/>
      </c>
      <c r="AG15" s="69" t="str">
        <f t="shared" si="20"/>
        <v/>
      </c>
      <c r="AH15" s="31"/>
      <c r="AI15" s="78" t="str">
        <f t="shared" si="21"/>
        <v/>
      </c>
      <c r="AJ15" s="69" t="str">
        <f t="shared" si="22"/>
        <v/>
      </c>
      <c r="AK1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" s="78" t="str">
        <f t="shared" si="23"/>
        <v/>
      </c>
      <c r="AM1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6" spans="1:39" outlineLevel="1" x14ac:dyDescent="0.25">
      <c r="A16" s="30" t="s">
        <v>158</v>
      </c>
      <c r="B16" s="31"/>
      <c r="C16" s="78" t="str">
        <f t="shared" si="0"/>
        <v/>
      </c>
      <c r="D16" s="31"/>
      <c r="E16" s="78" t="str">
        <f t="shared" si="1"/>
        <v/>
      </c>
      <c r="F16" s="69" t="str">
        <f t="shared" si="2"/>
        <v/>
      </c>
      <c r="G16" s="31"/>
      <c r="H16" s="78" t="str">
        <f t="shared" si="3"/>
        <v/>
      </c>
      <c r="I16" s="69" t="str">
        <f t="shared" si="4"/>
        <v/>
      </c>
      <c r="J16" s="31"/>
      <c r="K16" s="78" t="str">
        <f t="shared" si="5"/>
        <v/>
      </c>
      <c r="L16" s="69" t="str">
        <f t="shared" si="6"/>
        <v/>
      </c>
      <c r="M16" s="31"/>
      <c r="N16" s="78" t="str">
        <f t="shared" si="7"/>
        <v/>
      </c>
      <c r="O16" s="69" t="str">
        <f t="shared" si="8"/>
        <v/>
      </c>
      <c r="P16" s="31"/>
      <c r="Q16" s="78" t="str">
        <f t="shared" si="9"/>
        <v/>
      </c>
      <c r="R16" s="69" t="str">
        <f t="shared" si="10"/>
        <v/>
      </c>
      <c r="S16" s="31"/>
      <c r="T16" s="78" t="str">
        <f t="shared" si="11"/>
        <v/>
      </c>
      <c r="U16" s="69" t="str">
        <f t="shared" si="12"/>
        <v/>
      </c>
      <c r="V16" s="31"/>
      <c r="W16" s="78" t="str">
        <f t="shared" si="13"/>
        <v/>
      </c>
      <c r="X16" s="69" t="str">
        <f t="shared" si="14"/>
        <v/>
      </c>
      <c r="Y16" s="31"/>
      <c r="Z16" s="78" t="str">
        <f t="shared" si="15"/>
        <v/>
      </c>
      <c r="AA16" s="69" t="str">
        <f t="shared" si="16"/>
        <v/>
      </c>
      <c r="AB16" s="31"/>
      <c r="AC16" s="78" t="str">
        <f t="shared" si="17"/>
        <v/>
      </c>
      <c r="AD16" s="69" t="str">
        <f t="shared" si="18"/>
        <v/>
      </c>
      <c r="AE16" s="31"/>
      <c r="AF16" s="78" t="str">
        <f t="shared" si="19"/>
        <v/>
      </c>
      <c r="AG16" s="69" t="str">
        <f t="shared" si="20"/>
        <v/>
      </c>
      <c r="AH16" s="31"/>
      <c r="AI16" s="78" t="str">
        <f t="shared" si="21"/>
        <v/>
      </c>
      <c r="AJ16" s="69" t="str">
        <f t="shared" si="22"/>
        <v/>
      </c>
      <c r="AK1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" s="78" t="str">
        <f t="shared" si="23"/>
        <v/>
      </c>
      <c r="AM1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" spans="1:39" outlineLevel="1" x14ac:dyDescent="0.25">
      <c r="A17" s="30" t="s">
        <v>159</v>
      </c>
      <c r="B17" s="31"/>
      <c r="C17" s="78" t="str">
        <f t="shared" si="0"/>
        <v/>
      </c>
      <c r="D17" s="31"/>
      <c r="E17" s="78" t="str">
        <f t="shared" si="1"/>
        <v/>
      </c>
      <c r="F17" s="69" t="str">
        <f t="shared" si="2"/>
        <v/>
      </c>
      <c r="G17" s="31"/>
      <c r="H17" s="78" t="str">
        <f t="shared" si="3"/>
        <v/>
      </c>
      <c r="I17" s="69" t="str">
        <f t="shared" si="4"/>
        <v/>
      </c>
      <c r="J17" s="31"/>
      <c r="K17" s="78" t="str">
        <f t="shared" si="5"/>
        <v/>
      </c>
      <c r="L17" s="69" t="str">
        <f t="shared" si="6"/>
        <v/>
      </c>
      <c r="M17" s="31"/>
      <c r="N17" s="78" t="str">
        <f t="shared" si="7"/>
        <v/>
      </c>
      <c r="O17" s="69" t="str">
        <f t="shared" si="8"/>
        <v/>
      </c>
      <c r="P17" s="31"/>
      <c r="Q17" s="78" t="str">
        <f t="shared" si="9"/>
        <v/>
      </c>
      <c r="R17" s="69" t="str">
        <f t="shared" si="10"/>
        <v/>
      </c>
      <c r="S17" s="31"/>
      <c r="T17" s="78" t="str">
        <f t="shared" si="11"/>
        <v/>
      </c>
      <c r="U17" s="69" t="str">
        <f t="shared" si="12"/>
        <v/>
      </c>
      <c r="V17" s="31"/>
      <c r="W17" s="78" t="str">
        <f t="shared" si="13"/>
        <v/>
      </c>
      <c r="X17" s="69" t="str">
        <f t="shared" si="14"/>
        <v/>
      </c>
      <c r="Y17" s="31"/>
      <c r="Z17" s="78" t="str">
        <f t="shared" si="15"/>
        <v/>
      </c>
      <c r="AA17" s="69" t="str">
        <f t="shared" si="16"/>
        <v/>
      </c>
      <c r="AB17" s="31"/>
      <c r="AC17" s="78" t="str">
        <f t="shared" si="17"/>
        <v/>
      </c>
      <c r="AD17" s="69" t="str">
        <f t="shared" si="18"/>
        <v/>
      </c>
      <c r="AE17" s="31"/>
      <c r="AF17" s="78" t="str">
        <f t="shared" si="19"/>
        <v/>
      </c>
      <c r="AG17" s="69" t="str">
        <f t="shared" si="20"/>
        <v/>
      </c>
      <c r="AH17" s="31"/>
      <c r="AI17" s="78" t="str">
        <f t="shared" si="21"/>
        <v/>
      </c>
      <c r="AJ17" s="69" t="str">
        <f t="shared" si="22"/>
        <v/>
      </c>
      <c r="AK1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" s="78" t="str">
        <f t="shared" si="23"/>
        <v/>
      </c>
      <c r="AM1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" spans="1:39" outlineLevel="1" x14ac:dyDescent="0.25">
      <c r="A18" s="30"/>
      <c r="B18" s="31"/>
      <c r="C18" s="78" t="str">
        <f t="shared" si="0"/>
        <v/>
      </c>
      <c r="D18" s="31"/>
      <c r="E18" s="78" t="str">
        <f t="shared" si="1"/>
        <v/>
      </c>
      <c r="F18" s="69" t="str">
        <f t="shared" si="2"/>
        <v/>
      </c>
      <c r="G18" s="31"/>
      <c r="H18" s="78" t="str">
        <f t="shared" si="3"/>
        <v/>
      </c>
      <c r="I18" s="69" t="str">
        <f t="shared" si="4"/>
        <v/>
      </c>
      <c r="J18" s="31"/>
      <c r="K18" s="78" t="str">
        <f t="shared" si="5"/>
        <v/>
      </c>
      <c r="L18" s="69" t="str">
        <f t="shared" si="6"/>
        <v/>
      </c>
      <c r="M18" s="31"/>
      <c r="N18" s="78" t="str">
        <f t="shared" si="7"/>
        <v/>
      </c>
      <c r="O18" s="69" t="str">
        <f t="shared" si="8"/>
        <v/>
      </c>
      <c r="P18" s="31"/>
      <c r="Q18" s="78" t="str">
        <f t="shared" si="9"/>
        <v/>
      </c>
      <c r="R18" s="69" t="str">
        <f t="shared" si="10"/>
        <v/>
      </c>
      <c r="S18" s="31"/>
      <c r="T18" s="78" t="str">
        <f t="shared" si="11"/>
        <v/>
      </c>
      <c r="U18" s="69" t="str">
        <f t="shared" si="12"/>
        <v/>
      </c>
      <c r="V18" s="31"/>
      <c r="W18" s="78" t="str">
        <f t="shared" si="13"/>
        <v/>
      </c>
      <c r="X18" s="69" t="str">
        <f t="shared" si="14"/>
        <v/>
      </c>
      <c r="Y18" s="31"/>
      <c r="Z18" s="78" t="str">
        <f t="shared" si="15"/>
        <v/>
      </c>
      <c r="AA18" s="69" t="str">
        <f t="shared" si="16"/>
        <v/>
      </c>
      <c r="AB18" s="31"/>
      <c r="AC18" s="78" t="str">
        <f t="shared" si="17"/>
        <v/>
      </c>
      <c r="AD18" s="69" t="str">
        <f t="shared" si="18"/>
        <v/>
      </c>
      <c r="AE18" s="31"/>
      <c r="AF18" s="78" t="str">
        <f t="shared" si="19"/>
        <v/>
      </c>
      <c r="AG18" s="69" t="str">
        <f t="shared" si="20"/>
        <v/>
      </c>
      <c r="AH18" s="31"/>
      <c r="AI18" s="78" t="str">
        <f t="shared" si="21"/>
        <v/>
      </c>
      <c r="AJ18" s="69" t="str">
        <f t="shared" si="22"/>
        <v/>
      </c>
      <c r="AK1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" s="78" t="str">
        <f t="shared" si="23"/>
        <v/>
      </c>
      <c r="AM1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9" spans="1:39" outlineLevel="1" x14ac:dyDescent="0.25">
      <c r="A19" s="28" t="s">
        <v>160</v>
      </c>
      <c r="B19" s="29">
        <f>SUM(B20:B23)</f>
        <v>0</v>
      </c>
      <c r="C19" s="77" t="str">
        <f t="shared" si="0"/>
        <v/>
      </c>
      <c r="D19" s="29">
        <f>SUM(D20:D23)</f>
        <v>0</v>
      </c>
      <c r="E19" s="77" t="str">
        <f t="shared" si="1"/>
        <v/>
      </c>
      <c r="F19" s="69" t="str">
        <f t="shared" si="2"/>
        <v/>
      </c>
      <c r="G19" s="29">
        <f>SUM(G20:G23)</f>
        <v>0</v>
      </c>
      <c r="H19" s="77" t="str">
        <f t="shared" si="3"/>
        <v/>
      </c>
      <c r="I19" s="69" t="str">
        <f t="shared" si="4"/>
        <v/>
      </c>
      <c r="J19" s="29">
        <f>SUM(J20:J23)</f>
        <v>0</v>
      </c>
      <c r="K19" s="77" t="str">
        <f t="shared" si="5"/>
        <v/>
      </c>
      <c r="L19" s="69" t="str">
        <f t="shared" si="6"/>
        <v/>
      </c>
      <c r="M19" s="29">
        <f>SUM(M20:M23)</f>
        <v>0</v>
      </c>
      <c r="N19" s="77" t="str">
        <f t="shared" si="7"/>
        <v/>
      </c>
      <c r="O19" s="69" t="str">
        <f t="shared" si="8"/>
        <v/>
      </c>
      <c r="P19" s="29">
        <f>SUM(P20:P23)</f>
        <v>0</v>
      </c>
      <c r="Q19" s="77" t="str">
        <f t="shared" si="9"/>
        <v/>
      </c>
      <c r="R19" s="69" t="str">
        <f t="shared" si="10"/>
        <v/>
      </c>
      <c r="S19" s="29">
        <f>SUM(S20:S23)</f>
        <v>0</v>
      </c>
      <c r="T19" s="77" t="str">
        <f t="shared" si="11"/>
        <v/>
      </c>
      <c r="U19" s="69" t="str">
        <f t="shared" si="12"/>
        <v/>
      </c>
      <c r="V19" s="29">
        <f>SUM(V20:V23)</f>
        <v>0</v>
      </c>
      <c r="W19" s="77" t="str">
        <f t="shared" si="13"/>
        <v/>
      </c>
      <c r="X19" s="69" t="str">
        <f t="shared" si="14"/>
        <v/>
      </c>
      <c r="Y19" s="29">
        <f>SUM(Y20:Y23)</f>
        <v>0</v>
      </c>
      <c r="Z19" s="77" t="str">
        <f t="shared" si="15"/>
        <v/>
      </c>
      <c r="AA19" s="69" t="str">
        <f t="shared" si="16"/>
        <v/>
      </c>
      <c r="AB19" s="29">
        <f>SUM(AB20:AB23)</f>
        <v>0</v>
      </c>
      <c r="AC19" s="77" t="str">
        <f t="shared" si="17"/>
        <v/>
      </c>
      <c r="AD19" s="69" t="str">
        <f t="shared" si="18"/>
        <v/>
      </c>
      <c r="AE19" s="29">
        <f>SUM(AE20:AE23)</f>
        <v>0</v>
      </c>
      <c r="AF19" s="77" t="str">
        <f t="shared" si="19"/>
        <v/>
      </c>
      <c r="AG19" s="69" t="str">
        <f t="shared" si="20"/>
        <v/>
      </c>
      <c r="AH19" s="29">
        <f>SUM(AH20:AH23)</f>
        <v>0</v>
      </c>
      <c r="AI19" s="77" t="str">
        <f t="shared" si="21"/>
        <v/>
      </c>
      <c r="AJ19" s="69" t="str">
        <f t="shared" si="22"/>
        <v/>
      </c>
      <c r="AK19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9" s="77" t="str">
        <f t="shared" si="23"/>
        <v/>
      </c>
      <c r="AM19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20" spans="1:39" outlineLevel="1" x14ac:dyDescent="0.25">
      <c r="A20" s="30" t="s">
        <v>161</v>
      </c>
      <c r="B20" s="31"/>
      <c r="C20" s="78" t="str">
        <f t="shared" si="0"/>
        <v/>
      </c>
      <c r="D20" s="31"/>
      <c r="E20" s="78" t="str">
        <f t="shared" si="1"/>
        <v/>
      </c>
      <c r="F20" s="69" t="str">
        <f t="shared" si="2"/>
        <v/>
      </c>
      <c r="G20" s="31"/>
      <c r="H20" s="78" t="str">
        <f t="shared" si="3"/>
        <v/>
      </c>
      <c r="I20" s="69" t="str">
        <f t="shared" si="4"/>
        <v/>
      </c>
      <c r="J20" s="31"/>
      <c r="K20" s="78" t="str">
        <f t="shared" si="5"/>
        <v/>
      </c>
      <c r="L20" s="69" t="str">
        <f t="shared" si="6"/>
        <v/>
      </c>
      <c r="M20" s="31"/>
      <c r="N20" s="78" t="str">
        <f t="shared" si="7"/>
        <v/>
      </c>
      <c r="O20" s="69" t="str">
        <f t="shared" si="8"/>
        <v/>
      </c>
      <c r="P20" s="31"/>
      <c r="Q20" s="78" t="str">
        <f t="shared" si="9"/>
        <v/>
      </c>
      <c r="R20" s="69" t="str">
        <f t="shared" si="10"/>
        <v/>
      </c>
      <c r="S20" s="31"/>
      <c r="T20" s="78" t="str">
        <f t="shared" si="11"/>
        <v/>
      </c>
      <c r="U20" s="69" t="str">
        <f t="shared" si="12"/>
        <v/>
      </c>
      <c r="V20" s="31"/>
      <c r="W20" s="78" t="str">
        <f t="shared" si="13"/>
        <v/>
      </c>
      <c r="X20" s="69" t="str">
        <f t="shared" si="14"/>
        <v/>
      </c>
      <c r="Y20" s="31"/>
      <c r="Z20" s="78" t="str">
        <f t="shared" si="15"/>
        <v/>
      </c>
      <c r="AA20" s="69" t="str">
        <f t="shared" si="16"/>
        <v/>
      </c>
      <c r="AB20" s="31"/>
      <c r="AC20" s="78" t="str">
        <f t="shared" si="17"/>
        <v/>
      </c>
      <c r="AD20" s="69" t="str">
        <f t="shared" si="18"/>
        <v/>
      </c>
      <c r="AE20" s="31"/>
      <c r="AF20" s="78" t="str">
        <f t="shared" si="19"/>
        <v/>
      </c>
      <c r="AG20" s="69" t="str">
        <f t="shared" si="20"/>
        <v/>
      </c>
      <c r="AH20" s="31"/>
      <c r="AI20" s="78" t="str">
        <f t="shared" si="21"/>
        <v/>
      </c>
      <c r="AJ20" s="69" t="str">
        <f t="shared" si="22"/>
        <v/>
      </c>
      <c r="AK2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0" s="78" t="str">
        <f t="shared" si="23"/>
        <v/>
      </c>
      <c r="AM2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21" spans="1:39" outlineLevel="1" x14ac:dyDescent="0.25">
      <c r="A21" s="30" t="s">
        <v>162</v>
      </c>
      <c r="B21" s="31"/>
      <c r="C21" s="78" t="str">
        <f t="shared" si="0"/>
        <v/>
      </c>
      <c r="D21" s="31"/>
      <c r="E21" s="78" t="str">
        <f t="shared" si="1"/>
        <v/>
      </c>
      <c r="F21" s="69" t="str">
        <f t="shared" si="2"/>
        <v/>
      </c>
      <c r="G21" s="31"/>
      <c r="H21" s="78" t="str">
        <f t="shared" si="3"/>
        <v/>
      </c>
      <c r="I21" s="69" t="str">
        <f t="shared" si="4"/>
        <v/>
      </c>
      <c r="J21" s="31"/>
      <c r="K21" s="78" t="str">
        <f t="shared" si="5"/>
        <v/>
      </c>
      <c r="L21" s="69" t="str">
        <f t="shared" si="6"/>
        <v/>
      </c>
      <c r="M21" s="31"/>
      <c r="N21" s="78" t="str">
        <f t="shared" si="7"/>
        <v/>
      </c>
      <c r="O21" s="69" t="str">
        <f t="shared" si="8"/>
        <v/>
      </c>
      <c r="P21" s="31"/>
      <c r="Q21" s="78" t="str">
        <f t="shared" si="9"/>
        <v/>
      </c>
      <c r="R21" s="69" t="str">
        <f t="shared" si="10"/>
        <v/>
      </c>
      <c r="S21" s="31"/>
      <c r="T21" s="78" t="str">
        <f t="shared" si="11"/>
        <v/>
      </c>
      <c r="U21" s="69" t="str">
        <f t="shared" si="12"/>
        <v/>
      </c>
      <c r="V21" s="31"/>
      <c r="W21" s="78" t="str">
        <f t="shared" si="13"/>
        <v/>
      </c>
      <c r="X21" s="69" t="str">
        <f t="shared" si="14"/>
        <v/>
      </c>
      <c r="Y21" s="31"/>
      <c r="Z21" s="78" t="str">
        <f t="shared" si="15"/>
        <v/>
      </c>
      <c r="AA21" s="69" t="str">
        <f t="shared" si="16"/>
        <v/>
      </c>
      <c r="AB21" s="31"/>
      <c r="AC21" s="78" t="str">
        <f t="shared" si="17"/>
        <v/>
      </c>
      <c r="AD21" s="69" t="str">
        <f t="shared" si="18"/>
        <v/>
      </c>
      <c r="AE21" s="31"/>
      <c r="AF21" s="78" t="str">
        <f t="shared" si="19"/>
        <v/>
      </c>
      <c r="AG21" s="69" t="str">
        <f t="shared" si="20"/>
        <v/>
      </c>
      <c r="AH21" s="31"/>
      <c r="AI21" s="78" t="str">
        <f t="shared" si="21"/>
        <v/>
      </c>
      <c r="AJ21" s="69" t="str">
        <f t="shared" si="22"/>
        <v/>
      </c>
      <c r="AK2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1" s="78" t="str">
        <f t="shared" si="23"/>
        <v/>
      </c>
      <c r="AM2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22" spans="1:39" outlineLevel="1" x14ac:dyDescent="0.25">
      <c r="A22" s="30" t="s">
        <v>163</v>
      </c>
      <c r="B22" s="31"/>
      <c r="C22" s="78" t="str">
        <f t="shared" si="0"/>
        <v/>
      </c>
      <c r="D22" s="31"/>
      <c r="E22" s="78" t="str">
        <f t="shared" si="1"/>
        <v/>
      </c>
      <c r="F22" s="69" t="str">
        <f t="shared" si="2"/>
        <v/>
      </c>
      <c r="G22" s="31"/>
      <c r="H22" s="78" t="str">
        <f t="shared" si="3"/>
        <v/>
      </c>
      <c r="I22" s="69" t="str">
        <f t="shared" si="4"/>
        <v/>
      </c>
      <c r="J22" s="31"/>
      <c r="K22" s="78" t="str">
        <f t="shared" si="5"/>
        <v/>
      </c>
      <c r="L22" s="69" t="str">
        <f t="shared" si="6"/>
        <v/>
      </c>
      <c r="M22" s="31"/>
      <c r="N22" s="78" t="str">
        <f t="shared" si="7"/>
        <v/>
      </c>
      <c r="O22" s="69" t="str">
        <f t="shared" si="8"/>
        <v/>
      </c>
      <c r="P22" s="31"/>
      <c r="Q22" s="78" t="str">
        <f t="shared" si="9"/>
        <v/>
      </c>
      <c r="R22" s="69" t="str">
        <f t="shared" si="10"/>
        <v/>
      </c>
      <c r="S22" s="31"/>
      <c r="T22" s="78" t="str">
        <f t="shared" si="11"/>
        <v/>
      </c>
      <c r="U22" s="69" t="str">
        <f t="shared" si="12"/>
        <v/>
      </c>
      <c r="V22" s="31"/>
      <c r="W22" s="78" t="str">
        <f t="shared" si="13"/>
        <v/>
      </c>
      <c r="X22" s="69" t="str">
        <f t="shared" si="14"/>
        <v/>
      </c>
      <c r="Y22" s="31"/>
      <c r="Z22" s="78" t="str">
        <f t="shared" si="15"/>
        <v/>
      </c>
      <c r="AA22" s="69" t="str">
        <f t="shared" si="16"/>
        <v/>
      </c>
      <c r="AB22" s="31"/>
      <c r="AC22" s="78" t="str">
        <f t="shared" si="17"/>
        <v/>
      </c>
      <c r="AD22" s="69" t="str">
        <f t="shared" si="18"/>
        <v/>
      </c>
      <c r="AE22" s="31"/>
      <c r="AF22" s="78" t="str">
        <f t="shared" si="19"/>
        <v/>
      </c>
      <c r="AG22" s="69" t="str">
        <f t="shared" si="20"/>
        <v/>
      </c>
      <c r="AH22" s="31"/>
      <c r="AI22" s="78" t="str">
        <f t="shared" si="21"/>
        <v/>
      </c>
      <c r="AJ22" s="69" t="str">
        <f t="shared" si="22"/>
        <v/>
      </c>
      <c r="AK2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2" s="78" t="str">
        <f t="shared" si="23"/>
        <v/>
      </c>
      <c r="AM2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23" spans="1:39" outlineLevel="1" x14ac:dyDescent="0.25">
      <c r="A23" s="30"/>
      <c r="B23" s="31"/>
      <c r="C23" s="78" t="str">
        <f t="shared" si="0"/>
        <v/>
      </c>
      <c r="D23" s="31"/>
      <c r="E23" s="78" t="str">
        <f t="shared" si="1"/>
        <v/>
      </c>
      <c r="F23" s="69" t="str">
        <f t="shared" si="2"/>
        <v/>
      </c>
      <c r="G23" s="31"/>
      <c r="H23" s="78" t="str">
        <f t="shared" si="3"/>
        <v/>
      </c>
      <c r="I23" s="69" t="str">
        <f t="shared" si="4"/>
        <v/>
      </c>
      <c r="J23" s="31"/>
      <c r="K23" s="78" t="str">
        <f t="shared" si="5"/>
        <v/>
      </c>
      <c r="L23" s="69" t="str">
        <f t="shared" si="6"/>
        <v/>
      </c>
      <c r="M23" s="31"/>
      <c r="N23" s="78" t="str">
        <f t="shared" si="7"/>
        <v/>
      </c>
      <c r="O23" s="69" t="str">
        <f t="shared" si="8"/>
        <v/>
      </c>
      <c r="P23" s="31"/>
      <c r="Q23" s="78" t="str">
        <f t="shared" si="9"/>
        <v/>
      </c>
      <c r="R23" s="69" t="str">
        <f t="shared" si="10"/>
        <v/>
      </c>
      <c r="S23" s="31"/>
      <c r="T23" s="78" t="str">
        <f t="shared" si="11"/>
        <v/>
      </c>
      <c r="U23" s="69" t="str">
        <f t="shared" si="12"/>
        <v/>
      </c>
      <c r="V23" s="31"/>
      <c r="W23" s="78" t="str">
        <f t="shared" si="13"/>
        <v/>
      </c>
      <c r="X23" s="69" t="str">
        <f t="shared" si="14"/>
        <v/>
      </c>
      <c r="Y23" s="31"/>
      <c r="Z23" s="78" t="str">
        <f t="shared" si="15"/>
        <v/>
      </c>
      <c r="AA23" s="69" t="str">
        <f t="shared" si="16"/>
        <v/>
      </c>
      <c r="AB23" s="31"/>
      <c r="AC23" s="78" t="str">
        <f t="shared" si="17"/>
        <v/>
      </c>
      <c r="AD23" s="69" t="str">
        <f t="shared" si="18"/>
        <v/>
      </c>
      <c r="AE23" s="31"/>
      <c r="AF23" s="78" t="str">
        <f t="shared" si="19"/>
        <v/>
      </c>
      <c r="AG23" s="69" t="str">
        <f t="shared" si="20"/>
        <v/>
      </c>
      <c r="AH23" s="31"/>
      <c r="AI23" s="78" t="str">
        <f t="shared" si="21"/>
        <v/>
      </c>
      <c r="AJ23" s="69" t="str">
        <f t="shared" si="22"/>
        <v/>
      </c>
      <c r="AK2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3" s="78" t="str">
        <f t="shared" si="23"/>
        <v/>
      </c>
      <c r="AM2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24" spans="1:39" outlineLevel="1" x14ac:dyDescent="0.25">
      <c r="A24" s="28" t="s">
        <v>164</v>
      </c>
      <c r="B24" s="29">
        <f>SUM(B25:B27)</f>
        <v>0</v>
      </c>
      <c r="C24" s="77" t="str">
        <f t="shared" si="0"/>
        <v/>
      </c>
      <c r="D24" s="29">
        <f>SUM(D25:D27)</f>
        <v>0</v>
      </c>
      <c r="E24" s="77" t="str">
        <f t="shared" si="1"/>
        <v/>
      </c>
      <c r="F24" s="69" t="str">
        <f t="shared" si="2"/>
        <v/>
      </c>
      <c r="G24" s="29">
        <f>SUM(G25:G27)</f>
        <v>0</v>
      </c>
      <c r="H24" s="77" t="str">
        <f t="shared" si="3"/>
        <v/>
      </c>
      <c r="I24" s="69" t="str">
        <f t="shared" si="4"/>
        <v/>
      </c>
      <c r="J24" s="29">
        <f>SUM(J25:J27)</f>
        <v>0</v>
      </c>
      <c r="K24" s="77" t="str">
        <f t="shared" si="5"/>
        <v/>
      </c>
      <c r="L24" s="69" t="str">
        <f t="shared" si="6"/>
        <v/>
      </c>
      <c r="M24" s="29">
        <f>SUM(M25:M27)</f>
        <v>0</v>
      </c>
      <c r="N24" s="77" t="str">
        <f t="shared" si="7"/>
        <v/>
      </c>
      <c r="O24" s="69" t="str">
        <f t="shared" si="8"/>
        <v/>
      </c>
      <c r="P24" s="29">
        <f>SUM(P25:P27)</f>
        <v>0</v>
      </c>
      <c r="Q24" s="77" t="str">
        <f t="shared" si="9"/>
        <v/>
      </c>
      <c r="R24" s="69" t="str">
        <f t="shared" si="10"/>
        <v/>
      </c>
      <c r="S24" s="29">
        <f>SUM(S25:S27)</f>
        <v>0</v>
      </c>
      <c r="T24" s="77" t="str">
        <f t="shared" si="11"/>
        <v/>
      </c>
      <c r="U24" s="69" t="str">
        <f t="shared" si="12"/>
        <v/>
      </c>
      <c r="V24" s="29">
        <f>SUM(V25:V27)</f>
        <v>0</v>
      </c>
      <c r="W24" s="77" t="str">
        <f t="shared" si="13"/>
        <v/>
      </c>
      <c r="X24" s="69" t="str">
        <f t="shared" si="14"/>
        <v/>
      </c>
      <c r="Y24" s="29">
        <f>SUM(Y25:Y27)</f>
        <v>0</v>
      </c>
      <c r="Z24" s="77" t="str">
        <f t="shared" si="15"/>
        <v/>
      </c>
      <c r="AA24" s="69" t="str">
        <f t="shared" si="16"/>
        <v/>
      </c>
      <c r="AB24" s="29">
        <f>SUM(AB25:AB27)</f>
        <v>0</v>
      </c>
      <c r="AC24" s="77" t="str">
        <f t="shared" si="17"/>
        <v/>
      </c>
      <c r="AD24" s="69" t="str">
        <f t="shared" si="18"/>
        <v/>
      </c>
      <c r="AE24" s="29">
        <f>SUM(AE25:AE27)</f>
        <v>0</v>
      </c>
      <c r="AF24" s="77" t="str">
        <f t="shared" si="19"/>
        <v/>
      </c>
      <c r="AG24" s="69" t="str">
        <f t="shared" si="20"/>
        <v/>
      </c>
      <c r="AH24" s="29">
        <f>SUM(AH25:AH27)</f>
        <v>0</v>
      </c>
      <c r="AI24" s="77" t="str">
        <f t="shared" si="21"/>
        <v/>
      </c>
      <c r="AJ24" s="69" t="str">
        <f t="shared" si="22"/>
        <v/>
      </c>
      <c r="AK24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4" s="77" t="str">
        <f t="shared" si="23"/>
        <v/>
      </c>
      <c r="AM24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25" spans="1:39" outlineLevel="1" x14ac:dyDescent="0.25">
      <c r="A25" s="30" t="s">
        <v>165</v>
      </c>
      <c r="B25" s="31"/>
      <c r="C25" s="78" t="str">
        <f t="shared" si="0"/>
        <v/>
      </c>
      <c r="D25" s="31"/>
      <c r="E25" s="78" t="str">
        <f t="shared" si="1"/>
        <v/>
      </c>
      <c r="F25" s="69" t="str">
        <f t="shared" si="2"/>
        <v/>
      </c>
      <c r="G25" s="31"/>
      <c r="H25" s="78" t="str">
        <f t="shared" si="3"/>
        <v/>
      </c>
      <c r="I25" s="69" t="str">
        <f t="shared" si="4"/>
        <v/>
      </c>
      <c r="J25" s="31"/>
      <c r="K25" s="78" t="str">
        <f t="shared" si="5"/>
        <v/>
      </c>
      <c r="L25" s="69" t="str">
        <f t="shared" si="6"/>
        <v/>
      </c>
      <c r="M25" s="31"/>
      <c r="N25" s="78" t="str">
        <f t="shared" si="7"/>
        <v/>
      </c>
      <c r="O25" s="69" t="str">
        <f t="shared" si="8"/>
        <v/>
      </c>
      <c r="P25" s="31"/>
      <c r="Q25" s="78" t="str">
        <f t="shared" si="9"/>
        <v/>
      </c>
      <c r="R25" s="69" t="str">
        <f t="shared" si="10"/>
        <v/>
      </c>
      <c r="S25" s="31"/>
      <c r="T25" s="78" t="str">
        <f t="shared" si="11"/>
        <v/>
      </c>
      <c r="U25" s="69" t="str">
        <f t="shared" si="12"/>
        <v/>
      </c>
      <c r="V25" s="31"/>
      <c r="W25" s="78" t="str">
        <f t="shared" si="13"/>
        <v/>
      </c>
      <c r="X25" s="69" t="str">
        <f t="shared" si="14"/>
        <v/>
      </c>
      <c r="Y25" s="31"/>
      <c r="Z25" s="78" t="str">
        <f t="shared" si="15"/>
        <v/>
      </c>
      <c r="AA25" s="69" t="str">
        <f t="shared" si="16"/>
        <v/>
      </c>
      <c r="AB25" s="31"/>
      <c r="AC25" s="78" t="str">
        <f t="shared" si="17"/>
        <v/>
      </c>
      <c r="AD25" s="69" t="str">
        <f t="shared" si="18"/>
        <v/>
      </c>
      <c r="AE25" s="31"/>
      <c r="AF25" s="78" t="str">
        <f t="shared" si="19"/>
        <v/>
      </c>
      <c r="AG25" s="69" t="str">
        <f t="shared" si="20"/>
        <v/>
      </c>
      <c r="AH25" s="31"/>
      <c r="AI25" s="78" t="str">
        <f t="shared" si="21"/>
        <v/>
      </c>
      <c r="AJ25" s="69" t="str">
        <f t="shared" si="22"/>
        <v/>
      </c>
      <c r="AK2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5" s="78" t="str">
        <f t="shared" si="23"/>
        <v/>
      </c>
      <c r="AM2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26" spans="1:39" outlineLevel="1" x14ac:dyDescent="0.25">
      <c r="A26" s="30" t="s">
        <v>166</v>
      </c>
      <c r="B26" s="31"/>
      <c r="C26" s="78" t="str">
        <f t="shared" si="0"/>
        <v/>
      </c>
      <c r="D26" s="31"/>
      <c r="E26" s="78" t="str">
        <f t="shared" si="1"/>
        <v/>
      </c>
      <c r="F26" s="69" t="str">
        <f t="shared" si="2"/>
        <v/>
      </c>
      <c r="G26" s="31"/>
      <c r="H26" s="78" t="str">
        <f t="shared" si="3"/>
        <v/>
      </c>
      <c r="I26" s="69" t="str">
        <f t="shared" si="4"/>
        <v/>
      </c>
      <c r="J26" s="31"/>
      <c r="K26" s="78" t="str">
        <f t="shared" si="5"/>
        <v/>
      </c>
      <c r="L26" s="69" t="str">
        <f t="shared" si="6"/>
        <v/>
      </c>
      <c r="M26" s="31"/>
      <c r="N26" s="78" t="str">
        <f t="shared" si="7"/>
        <v/>
      </c>
      <c r="O26" s="69" t="str">
        <f t="shared" si="8"/>
        <v/>
      </c>
      <c r="P26" s="31"/>
      <c r="Q26" s="78" t="str">
        <f t="shared" si="9"/>
        <v/>
      </c>
      <c r="R26" s="69" t="str">
        <f t="shared" si="10"/>
        <v/>
      </c>
      <c r="S26" s="31"/>
      <c r="T26" s="78" t="str">
        <f t="shared" si="11"/>
        <v/>
      </c>
      <c r="U26" s="69" t="str">
        <f t="shared" si="12"/>
        <v/>
      </c>
      <c r="V26" s="31"/>
      <c r="W26" s="78" t="str">
        <f t="shared" si="13"/>
        <v/>
      </c>
      <c r="X26" s="69" t="str">
        <f t="shared" si="14"/>
        <v/>
      </c>
      <c r="Y26" s="31"/>
      <c r="Z26" s="78" t="str">
        <f t="shared" si="15"/>
        <v/>
      </c>
      <c r="AA26" s="69" t="str">
        <f t="shared" si="16"/>
        <v/>
      </c>
      <c r="AB26" s="31"/>
      <c r="AC26" s="78" t="str">
        <f t="shared" si="17"/>
        <v/>
      </c>
      <c r="AD26" s="69" t="str">
        <f t="shared" si="18"/>
        <v/>
      </c>
      <c r="AE26" s="31"/>
      <c r="AF26" s="78" t="str">
        <f t="shared" si="19"/>
        <v/>
      </c>
      <c r="AG26" s="69" t="str">
        <f t="shared" si="20"/>
        <v/>
      </c>
      <c r="AH26" s="31"/>
      <c r="AI26" s="78" t="str">
        <f t="shared" si="21"/>
        <v/>
      </c>
      <c r="AJ26" s="69" t="str">
        <f t="shared" si="22"/>
        <v/>
      </c>
      <c r="AK2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6" s="78" t="str">
        <f t="shared" si="23"/>
        <v/>
      </c>
      <c r="AM2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27" spans="1:39" outlineLevel="1" x14ac:dyDescent="0.25">
      <c r="A27" s="30"/>
      <c r="B27" s="31"/>
      <c r="C27" s="78" t="str">
        <f t="shared" si="0"/>
        <v/>
      </c>
      <c r="D27" s="31"/>
      <c r="E27" s="78" t="str">
        <f t="shared" si="1"/>
        <v/>
      </c>
      <c r="F27" s="69" t="str">
        <f t="shared" si="2"/>
        <v/>
      </c>
      <c r="G27" s="31"/>
      <c r="H27" s="78" t="str">
        <f t="shared" si="3"/>
        <v/>
      </c>
      <c r="I27" s="69" t="str">
        <f t="shared" si="4"/>
        <v/>
      </c>
      <c r="J27" s="31"/>
      <c r="K27" s="78" t="str">
        <f t="shared" si="5"/>
        <v/>
      </c>
      <c r="L27" s="69" t="str">
        <f t="shared" si="6"/>
        <v/>
      </c>
      <c r="M27" s="31"/>
      <c r="N27" s="78" t="str">
        <f t="shared" si="7"/>
        <v/>
      </c>
      <c r="O27" s="69" t="str">
        <f t="shared" si="8"/>
        <v/>
      </c>
      <c r="P27" s="31"/>
      <c r="Q27" s="78" t="str">
        <f t="shared" si="9"/>
        <v/>
      </c>
      <c r="R27" s="69" t="str">
        <f t="shared" si="10"/>
        <v/>
      </c>
      <c r="S27" s="31"/>
      <c r="T27" s="78" t="str">
        <f t="shared" si="11"/>
        <v/>
      </c>
      <c r="U27" s="69" t="str">
        <f t="shared" si="12"/>
        <v/>
      </c>
      <c r="V27" s="31"/>
      <c r="W27" s="78" t="str">
        <f t="shared" si="13"/>
        <v/>
      </c>
      <c r="X27" s="69" t="str">
        <f t="shared" si="14"/>
        <v/>
      </c>
      <c r="Y27" s="31"/>
      <c r="Z27" s="78" t="str">
        <f t="shared" si="15"/>
        <v/>
      </c>
      <c r="AA27" s="69" t="str">
        <f t="shared" si="16"/>
        <v/>
      </c>
      <c r="AB27" s="31"/>
      <c r="AC27" s="78" t="str">
        <f t="shared" si="17"/>
        <v/>
      </c>
      <c r="AD27" s="69" t="str">
        <f t="shared" si="18"/>
        <v/>
      </c>
      <c r="AE27" s="31"/>
      <c r="AF27" s="78" t="str">
        <f t="shared" si="19"/>
        <v/>
      </c>
      <c r="AG27" s="69" t="str">
        <f t="shared" si="20"/>
        <v/>
      </c>
      <c r="AH27" s="31"/>
      <c r="AI27" s="78" t="str">
        <f t="shared" si="21"/>
        <v/>
      </c>
      <c r="AJ27" s="69" t="str">
        <f t="shared" si="22"/>
        <v/>
      </c>
      <c r="AK2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7" s="78" t="str">
        <f t="shared" si="23"/>
        <v/>
      </c>
      <c r="AM2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28" spans="1:39" outlineLevel="1" x14ac:dyDescent="0.25">
      <c r="A28" s="28" t="s">
        <v>167</v>
      </c>
      <c r="B28" s="29">
        <f>SUM(B29:B30)</f>
        <v>0</v>
      </c>
      <c r="C28" s="77" t="str">
        <f t="shared" si="0"/>
        <v/>
      </c>
      <c r="D28" s="29">
        <f>SUM(D29:D30)</f>
        <v>0</v>
      </c>
      <c r="E28" s="77" t="str">
        <f t="shared" si="1"/>
        <v/>
      </c>
      <c r="F28" s="69" t="str">
        <f t="shared" si="2"/>
        <v/>
      </c>
      <c r="G28" s="29">
        <f>SUM(G29:G30)</f>
        <v>0</v>
      </c>
      <c r="H28" s="77" t="str">
        <f t="shared" si="3"/>
        <v/>
      </c>
      <c r="I28" s="69" t="str">
        <f t="shared" si="4"/>
        <v/>
      </c>
      <c r="J28" s="29">
        <f>SUM(J29:J30)</f>
        <v>0</v>
      </c>
      <c r="K28" s="77" t="str">
        <f t="shared" si="5"/>
        <v/>
      </c>
      <c r="L28" s="69" t="str">
        <f t="shared" si="6"/>
        <v/>
      </c>
      <c r="M28" s="29">
        <f>SUM(M29:M30)</f>
        <v>0</v>
      </c>
      <c r="N28" s="77" t="str">
        <f t="shared" si="7"/>
        <v/>
      </c>
      <c r="O28" s="69" t="str">
        <f t="shared" si="8"/>
        <v/>
      </c>
      <c r="P28" s="29">
        <f>SUM(P29:P30)</f>
        <v>0</v>
      </c>
      <c r="Q28" s="77" t="str">
        <f t="shared" si="9"/>
        <v/>
      </c>
      <c r="R28" s="69" t="str">
        <f t="shared" si="10"/>
        <v/>
      </c>
      <c r="S28" s="29">
        <f>SUM(S29:S30)</f>
        <v>0</v>
      </c>
      <c r="T28" s="77" t="str">
        <f t="shared" si="11"/>
        <v/>
      </c>
      <c r="U28" s="69" t="str">
        <f t="shared" si="12"/>
        <v/>
      </c>
      <c r="V28" s="29">
        <f>SUM(V29:V30)</f>
        <v>0</v>
      </c>
      <c r="W28" s="77" t="str">
        <f t="shared" si="13"/>
        <v/>
      </c>
      <c r="X28" s="69" t="str">
        <f t="shared" si="14"/>
        <v/>
      </c>
      <c r="Y28" s="29">
        <f>SUM(Y29:Y30)</f>
        <v>0</v>
      </c>
      <c r="Z28" s="77" t="str">
        <f t="shared" si="15"/>
        <v/>
      </c>
      <c r="AA28" s="69" t="str">
        <f t="shared" si="16"/>
        <v/>
      </c>
      <c r="AB28" s="29">
        <f>SUM(AB29:AB30)</f>
        <v>0</v>
      </c>
      <c r="AC28" s="77" t="str">
        <f t="shared" si="17"/>
        <v/>
      </c>
      <c r="AD28" s="69" t="str">
        <f t="shared" si="18"/>
        <v/>
      </c>
      <c r="AE28" s="29">
        <f>SUM(AE29:AE30)</f>
        <v>0</v>
      </c>
      <c r="AF28" s="77" t="str">
        <f t="shared" si="19"/>
        <v/>
      </c>
      <c r="AG28" s="69" t="str">
        <f t="shared" si="20"/>
        <v/>
      </c>
      <c r="AH28" s="29">
        <f>SUM(AH29:AH30)</f>
        <v>0</v>
      </c>
      <c r="AI28" s="77" t="str">
        <f t="shared" si="21"/>
        <v/>
      </c>
      <c r="AJ28" s="69" t="str">
        <f t="shared" si="22"/>
        <v/>
      </c>
      <c r="AK28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8" s="77" t="str">
        <f t="shared" si="23"/>
        <v/>
      </c>
      <c r="AM28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29" spans="1:39" outlineLevel="1" x14ac:dyDescent="0.25">
      <c r="A29" s="30" t="s">
        <v>168</v>
      </c>
      <c r="B29" s="31"/>
      <c r="C29" s="78" t="str">
        <f t="shared" si="0"/>
        <v/>
      </c>
      <c r="D29" s="31"/>
      <c r="E29" s="78" t="str">
        <f t="shared" si="1"/>
        <v/>
      </c>
      <c r="F29" s="69" t="str">
        <f t="shared" si="2"/>
        <v/>
      </c>
      <c r="G29" s="31"/>
      <c r="H29" s="78" t="str">
        <f t="shared" si="3"/>
        <v/>
      </c>
      <c r="I29" s="69" t="str">
        <f t="shared" si="4"/>
        <v/>
      </c>
      <c r="J29" s="31"/>
      <c r="K29" s="78" t="str">
        <f t="shared" si="5"/>
        <v/>
      </c>
      <c r="L29" s="69" t="str">
        <f t="shared" si="6"/>
        <v/>
      </c>
      <c r="M29" s="31"/>
      <c r="N29" s="78" t="str">
        <f t="shared" si="7"/>
        <v/>
      </c>
      <c r="O29" s="69" t="str">
        <f t="shared" si="8"/>
        <v/>
      </c>
      <c r="P29" s="31"/>
      <c r="Q29" s="78" t="str">
        <f t="shared" si="9"/>
        <v/>
      </c>
      <c r="R29" s="69" t="str">
        <f t="shared" si="10"/>
        <v/>
      </c>
      <c r="S29" s="31"/>
      <c r="T29" s="78" t="str">
        <f t="shared" si="11"/>
        <v/>
      </c>
      <c r="U29" s="69" t="str">
        <f t="shared" si="12"/>
        <v/>
      </c>
      <c r="V29" s="31"/>
      <c r="W29" s="78" t="str">
        <f t="shared" si="13"/>
        <v/>
      </c>
      <c r="X29" s="69" t="str">
        <f t="shared" si="14"/>
        <v/>
      </c>
      <c r="Y29" s="31"/>
      <c r="Z29" s="78" t="str">
        <f t="shared" si="15"/>
        <v/>
      </c>
      <c r="AA29" s="69" t="str">
        <f t="shared" si="16"/>
        <v/>
      </c>
      <c r="AB29" s="31"/>
      <c r="AC29" s="78" t="str">
        <f t="shared" si="17"/>
        <v/>
      </c>
      <c r="AD29" s="69" t="str">
        <f t="shared" si="18"/>
        <v/>
      </c>
      <c r="AE29" s="31"/>
      <c r="AF29" s="78" t="str">
        <f t="shared" si="19"/>
        <v/>
      </c>
      <c r="AG29" s="69" t="str">
        <f t="shared" si="20"/>
        <v/>
      </c>
      <c r="AH29" s="31"/>
      <c r="AI29" s="78" t="str">
        <f t="shared" si="21"/>
        <v/>
      </c>
      <c r="AJ29" s="69" t="str">
        <f t="shared" si="22"/>
        <v/>
      </c>
      <c r="AK2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29" s="78" t="str">
        <f t="shared" si="23"/>
        <v/>
      </c>
      <c r="AM2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0" spans="1:39" outlineLevel="1" x14ac:dyDescent="0.25">
      <c r="A30" s="30"/>
      <c r="B30" s="31"/>
      <c r="C30" s="78" t="str">
        <f t="shared" si="0"/>
        <v/>
      </c>
      <c r="D30" s="31"/>
      <c r="E30" s="78" t="str">
        <f t="shared" si="1"/>
        <v/>
      </c>
      <c r="F30" s="69" t="str">
        <f t="shared" si="2"/>
        <v/>
      </c>
      <c r="G30" s="31"/>
      <c r="H30" s="78" t="str">
        <f t="shared" si="3"/>
        <v/>
      </c>
      <c r="I30" s="69" t="str">
        <f t="shared" si="4"/>
        <v/>
      </c>
      <c r="J30" s="31"/>
      <c r="K30" s="78" t="str">
        <f t="shared" si="5"/>
        <v/>
      </c>
      <c r="L30" s="69" t="str">
        <f t="shared" si="6"/>
        <v/>
      </c>
      <c r="M30" s="31"/>
      <c r="N30" s="78" t="str">
        <f t="shared" si="7"/>
        <v/>
      </c>
      <c r="O30" s="69" t="str">
        <f t="shared" si="8"/>
        <v/>
      </c>
      <c r="P30" s="31"/>
      <c r="Q30" s="78" t="str">
        <f t="shared" si="9"/>
        <v/>
      </c>
      <c r="R30" s="69" t="str">
        <f t="shared" si="10"/>
        <v/>
      </c>
      <c r="S30" s="31"/>
      <c r="T30" s="78" t="str">
        <f t="shared" si="11"/>
        <v/>
      </c>
      <c r="U30" s="69" t="str">
        <f t="shared" si="12"/>
        <v/>
      </c>
      <c r="V30" s="31"/>
      <c r="W30" s="78" t="str">
        <f t="shared" si="13"/>
        <v/>
      </c>
      <c r="X30" s="69" t="str">
        <f t="shared" si="14"/>
        <v/>
      </c>
      <c r="Y30" s="31"/>
      <c r="Z30" s="78" t="str">
        <f t="shared" si="15"/>
        <v/>
      </c>
      <c r="AA30" s="69" t="str">
        <f t="shared" si="16"/>
        <v/>
      </c>
      <c r="AB30" s="31"/>
      <c r="AC30" s="78" t="str">
        <f t="shared" si="17"/>
        <v/>
      </c>
      <c r="AD30" s="69" t="str">
        <f t="shared" si="18"/>
        <v/>
      </c>
      <c r="AE30" s="31"/>
      <c r="AF30" s="78" t="str">
        <f t="shared" si="19"/>
        <v/>
      </c>
      <c r="AG30" s="69" t="str">
        <f t="shared" si="20"/>
        <v/>
      </c>
      <c r="AH30" s="31"/>
      <c r="AI30" s="78" t="str">
        <f t="shared" si="21"/>
        <v/>
      </c>
      <c r="AJ30" s="69" t="str">
        <f t="shared" si="22"/>
        <v/>
      </c>
      <c r="AK3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0" s="78" t="str">
        <f t="shared" si="23"/>
        <v/>
      </c>
      <c r="AM3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1" spans="1:39" x14ac:dyDescent="0.25">
      <c r="A31" s="26" t="s">
        <v>169</v>
      </c>
      <c r="B31" s="27">
        <f>B32+B39</f>
        <v>0</v>
      </c>
      <c r="C31" s="76" t="str">
        <f t="shared" si="0"/>
        <v/>
      </c>
      <c r="D31" s="27">
        <f>D32+D39</f>
        <v>0</v>
      </c>
      <c r="E31" s="76" t="str">
        <f t="shared" si="1"/>
        <v/>
      </c>
      <c r="F31" s="69" t="str">
        <f t="shared" si="2"/>
        <v/>
      </c>
      <c r="G31" s="27">
        <f>G32+G39</f>
        <v>0</v>
      </c>
      <c r="H31" s="76" t="str">
        <f t="shared" si="3"/>
        <v/>
      </c>
      <c r="I31" s="69" t="str">
        <f t="shared" si="4"/>
        <v/>
      </c>
      <c r="J31" s="27">
        <f>J32+J39</f>
        <v>0</v>
      </c>
      <c r="K31" s="76" t="str">
        <f t="shared" si="5"/>
        <v/>
      </c>
      <c r="L31" s="69" t="str">
        <f t="shared" si="6"/>
        <v/>
      </c>
      <c r="M31" s="27">
        <f>M32+M39</f>
        <v>0</v>
      </c>
      <c r="N31" s="76" t="str">
        <f t="shared" si="7"/>
        <v/>
      </c>
      <c r="O31" s="69" t="str">
        <f t="shared" si="8"/>
        <v/>
      </c>
      <c r="P31" s="27">
        <f>P32+P39</f>
        <v>0</v>
      </c>
      <c r="Q31" s="76" t="str">
        <f t="shared" si="9"/>
        <v/>
      </c>
      <c r="R31" s="69" t="str">
        <f t="shared" si="10"/>
        <v/>
      </c>
      <c r="S31" s="27">
        <f>S32+S39</f>
        <v>0</v>
      </c>
      <c r="T31" s="76" t="str">
        <f t="shared" si="11"/>
        <v/>
      </c>
      <c r="U31" s="69" t="str">
        <f t="shared" si="12"/>
        <v/>
      </c>
      <c r="V31" s="27">
        <f>V32+V39</f>
        <v>0</v>
      </c>
      <c r="W31" s="76" t="str">
        <f t="shared" si="13"/>
        <v/>
      </c>
      <c r="X31" s="69" t="str">
        <f t="shared" si="14"/>
        <v/>
      </c>
      <c r="Y31" s="27">
        <f>Y32+Y39</f>
        <v>0</v>
      </c>
      <c r="Z31" s="76" t="str">
        <f t="shared" si="15"/>
        <v/>
      </c>
      <c r="AA31" s="69" t="str">
        <f t="shared" si="16"/>
        <v/>
      </c>
      <c r="AB31" s="27">
        <f>AB32+AB39</f>
        <v>0</v>
      </c>
      <c r="AC31" s="76" t="str">
        <f t="shared" si="17"/>
        <v/>
      </c>
      <c r="AD31" s="69" t="str">
        <f t="shared" si="18"/>
        <v/>
      </c>
      <c r="AE31" s="27">
        <f>AE32+AE39</f>
        <v>0</v>
      </c>
      <c r="AF31" s="76" t="str">
        <f t="shared" si="19"/>
        <v/>
      </c>
      <c r="AG31" s="69" t="str">
        <f t="shared" si="20"/>
        <v/>
      </c>
      <c r="AH31" s="27">
        <f>AH32+AH39</f>
        <v>0</v>
      </c>
      <c r="AI31" s="76" t="str">
        <f t="shared" si="21"/>
        <v/>
      </c>
      <c r="AJ31" s="69" t="str">
        <f t="shared" si="22"/>
        <v/>
      </c>
      <c r="AK31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1" s="76" t="str">
        <f t="shared" si="23"/>
        <v/>
      </c>
      <c r="AM31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32" spans="1:39" outlineLevel="1" x14ac:dyDescent="0.25">
      <c r="A32" s="28" t="s">
        <v>170</v>
      </c>
      <c r="B32" s="29">
        <f>SUM(B33:B38)</f>
        <v>0</v>
      </c>
      <c r="C32" s="77" t="str">
        <f t="shared" si="0"/>
        <v/>
      </c>
      <c r="D32" s="29">
        <f>SUM(D33:D38)</f>
        <v>0</v>
      </c>
      <c r="E32" s="77" t="str">
        <f t="shared" si="1"/>
        <v/>
      </c>
      <c r="F32" s="69" t="str">
        <f t="shared" si="2"/>
        <v/>
      </c>
      <c r="G32" s="29">
        <f>SUM(G33:G38)</f>
        <v>0</v>
      </c>
      <c r="H32" s="77" t="str">
        <f t="shared" si="3"/>
        <v/>
      </c>
      <c r="I32" s="69" t="str">
        <f t="shared" si="4"/>
        <v/>
      </c>
      <c r="J32" s="29">
        <f>SUM(J33:J38)</f>
        <v>0</v>
      </c>
      <c r="K32" s="77" t="str">
        <f t="shared" si="5"/>
        <v/>
      </c>
      <c r="L32" s="69" t="str">
        <f t="shared" si="6"/>
        <v/>
      </c>
      <c r="M32" s="29">
        <f>SUM(M33:M38)</f>
        <v>0</v>
      </c>
      <c r="N32" s="77" t="str">
        <f t="shared" si="7"/>
        <v/>
      </c>
      <c r="O32" s="69" t="str">
        <f t="shared" si="8"/>
        <v/>
      </c>
      <c r="P32" s="29">
        <f>SUM(P33:P38)</f>
        <v>0</v>
      </c>
      <c r="Q32" s="77" t="str">
        <f t="shared" si="9"/>
        <v/>
      </c>
      <c r="R32" s="69" t="str">
        <f t="shared" si="10"/>
        <v/>
      </c>
      <c r="S32" s="29">
        <f>SUM(S33:S38)</f>
        <v>0</v>
      </c>
      <c r="T32" s="77" t="str">
        <f t="shared" si="11"/>
        <v/>
      </c>
      <c r="U32" s="69" t="str">
        <f t="shared" si="12"/>
        <v/>
      </c>
      <c r="V32" s="29">
        <f>SUM(V33:V38)</f>
        <v>0</v>
      </c>
      <c r="W32" s="77" t="str">
        <f t="shared" si="13"/>
        <v/>
      </c>
      <c r="X32" s="69" t="str">
        <f t="shared" si="14"/>
        <v/>
      </c>
      <c r="Y32" s="29">
        <f>SUM(Y33:Y38)</f>
        <v>0</v>
      </c>
      <c r="Z32" s="77" t="str">
        <f t="shared" si="15"/>
        <v/>
      </c>
      <c r="AA32" s="69" t="str">
        <f t="shared" si="16"/>
        <v/>
      </c>
      <c r="AB32" s="29">
        <f>SUM(AB33:AB38)</f>
        <v>0</v>
      </c>
      <c r="AC32" s="77" t="str">
        <f t="shared" si="17"/>
        <v/>
      </c>
      <c r="AD32" s="69" t="str">
        <f t="shared" si="18"/>
        <v/>
      </c>
      <c r="AE32" s="29">
        <f>SUM(AE33:AE38)</f>
        <v>0</v>
      </c>
      <c r="AF32" s="77" t="str">
        <f t="shared" si="19"/>
        <v/>
      </c>
      <c r="AG32" s="69" t="str">
        <f t="shared" si="20"/>
        <v/>
      </c>
      <c r="AH32" s="29">
        <f>SUM(AH33:AH38)</f>
        <v>0</v>
      </c>
      <c r="AI32" s="77" t="str">
        <f t="shared" si="21"/>
        <v/>
      </c>
      <c r="AJ32" s="69" t="str">
        <f t="shared" si="22"/>
        <v/>
      </c>
      <c r="AK32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2" s="77" t="str">
        <f t="shared" si="23"/>
        <v/>
      </c>
      <c r="AM32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33" spans="1:39" outlineLevel="1" x14ac:dyDescent="0.25">
      <c r="A33" s="30" t="s">
        <v>171</v>
      </c>
      <c r="B33" s="31"/>
      <c r="C33" s="78" t="str">
        <f t="shared" si="0"/>
        <v/>
      </c>
      <c r="D33" s="31"/>
      <c r="E33" s="78" t="str">
        <f t="shared" si="1"/>
        <v/>
      </c>
      <c r="F33" s="69" t="str">
        <f t="shared" si="2"/>
        <v/>
      </c>
      <c r="G33" s="31"/>
      <c r="H33" s="78" t="str">
        <f t="shared" si="3"/>
        <v/>
      </c>
      <c r="I33" s="69" t="str">
        <f t="shared" si="4"/>
        <v/>
      </c>
      <c r="J33" s="31"/>
      <c r="K33" s="78" t="str">
        <f t="shared" si="5"/>
        <v/>
      </c>
      <c r="L33" s="69" t="str">
        <f t="shared" si="6"/>
        <v/>
      </c>
      <c r="M33" s="31"/>
      <c r="N33" s="78" t="str">
        <f t="shared" si="7"/>
        <v/>
      </c>
      <c r="O33" s="69" t="str">
        <f t="shared" si="8"/>
        <v/>
      </c>
      <c r="P33" s="31"/>
      <c r="Q33" s="78" t="str">
        <f t="shared" si="9"/>
        <v/>
      </c>
      <c r="R33" s="69" t="str">
        <f t="shared" si="10"/>
        <v/>
      </c>
      <c r="S33" s="31"/>
      <c r="T33" s="78" t="str">
        <f t="shared" si="11"/>
        <v/>
      </c>
      <c r="U33" s="69" t="str">
        <f t="shared" si="12"/>
        <v/>
      </c>
      <c r="V33" s="31"/>
      <c r="W33" s="78" t="str">
        <f t="shared" si="13"/>
        <v/>
      </c>
      <c r="X33" s="69" t="str">
        <f t="shared" si="14"/>
        <v/>
      </c>
      <c r="Y33" s="31"/>
      <c r="Z33" s="78" t="str">
        <f t="shared" si="15"/>
        <v/>
      </c>
      <c r="AA33" s="69" t="str">
        <f t="shared" si="16"/>
        <v/>
      </c>
      <c r="AB33" s="31"/>
      <c r="AC33" s="78" t="str">
        <f t="shared" si="17"/>
        <v/>
      </c>
      <c r="AD33" s="69" t="str">
        <f t="shared" si="18"/>
        <v/>
      </c>
      <c r="AE33" s="31"/>
      <c r="AF33" s="78" t="str">
        <f t="shared" si="19"/>
        <v/>
      </c>
      <c r="AG33" s="69" t="str">
        <f t="shared" si="20"/>
        <v/>
      </c>
      <c r="AH33" s="31"/>
      <c r="AI33" s="78" t="str">
        <f t="shared" si="21"/>
        <v/>
      </c>
      <c r="AJ33" s="69" t="str">
        <f t="shared" si="22"/>
        <v/>
      </c>
      <c r="AK3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3" s="78" t="str">
        <f t="shared" si="23"/>
        <v/>
      </c>
      <c r="AM3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4" spans="1:39" outlineLevel="1" x14ac:dyDescent="0.25">
      <c r="A34" s="30" t="s">
        <v>172</v>
      </c>
      <c r="B34" s="31"/>
      <c r="C34" s="78" t="str">
        <f t="shared" si="0"/>
        <v/>
      </c>
      <c r="D34" s="31"/>
      <c r="E34" s="78" t="str">
        <f t="shared" si="1"/>
        <v/>
      </c>
      <c r="F34" s="69" t="str">
        <f t="shared" si="2"/>
        <v/>
      </c>
      <c r="G34" s="31"/>
      <c r="H34" s="78" t="str">
        <f t="shared" si="3"/>
        <v/>
      </c>
      <c r="I34" s="69" t="str">
        <f t="shared" si="4"/>
        <v/>
      </c>
      <c r="J34" s="31"/>
      <c r="K34" s="78" t="str">
        <f t="shared" si="5"/>
        <v/>
      </c>
      <c r="L34" s="69" t="str">
        <f t="shared" si="6"/>
        <v/>
      </c>
      <c r="M34" s="31"/>
      <c r="N34" s="78" t="str">
        <f t="shared" si="7"/>
        <v/>
      </c>
      <c r="O34" s="69" t="str">
        <f t="shared" si="8"/>
        <v/>
      </c>
      <c r="P34" s="31"/>
      <c r="Q34" s="78" t="str">
        <f t="shared" si="9"/>
        <v/>
      </c>
      <c r="R34" s="69" t="str">
        <f t="shared" si="10"/>
        <v/>
      </c>
      <c r="S34" s="31"/>
      <c r="T34" s="78" t="str">
        <f t="shared" si="11"/>
        <v/>
      </c>
      <c r="U34" s="69" t="str">
        <f t="shared" si="12"/>
        <v/>
      </c>
      <c r="V34" s="31"/>
      <c r="W34" s="78" t="str">
        <f t="shared" si="13"/>
        <v/>
      </c>
      <c r="X34" s="69" t="str">
        <f t="shared" si="14"/>
        <v/>
      </c>
      <c r="Y34" s="31"/>
      <c r="Z34" s="78" t="str">
        <f t="shared" si="15"/>
        <v/>
      </c>
      <c r="AA34" s="69" t="str">
        <f t="shared" si="16"/>
        <v/>
      </c>
      <c r="AB34" s="31"/>
      <c r="AC34" s="78" t="str">
        <f t="shared" si="17"/>
        <v/>
      </c>
      <c r="AD34" s="69" t="str">
        <f t="shared" si="18"/>
        <v/>
      </c>
      <c r="AE34" s="31"/>
      <c r="AF34" s="78" t="str">
        <f t="shared" si="19"/>
        <v/>
      </c>
      <c r="AG34" s="69" t="str">
        <f t="shared" si="20"/>
        <v/>
      </c>
      <c r="AH34" s="31"/>
      <c r="AI34" s="78" t="str">
        <f t="shared" si="21"/>
        <v/>
      </c>
      <c r="AJ34" s="69" t="str">
        <f t="shared" si="22"/>
        <v/>
      </c>
      <c r="AK3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4" s="78" t="str">
        <f t="shared" si="23"/>
        <v/>
      </c>
      <c r="AM3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5" spans="1:39" outlineLevel="1" x14ac:dyDescent="0.25">
      <c r="A35" s="30" t="s">
        <v>173</v>
      </c>
      <c r="B35" s="31"/>
      <c r="C35" s="78" t="str">
        <f t="shared" ref="C35:C66" si="24">IFERROR(B35/$B$3,"")</f>
        <v/>
      </c>
      <c r="D35" s="31"/>
      <c r="E35" s="78" t="str">
        <f t="shared" ref="E35:E66" si="25">IFERROR(D35/$D$3,"")</f>
        <v/>
      </c>
      <c r="F35" s="69" t="str">
        <f t="shared" ref="F35:F66" si="26">IFERROR((D35-B35)/B35,"")</f>
        <v/>
      </c>
      <c r="G35" s="31"/>
      <c r="H35" s="78" t="str">
        <f t="shared" ref="H35:H66" si="27">IFERROR(G35/$G$3,"")</f>
        <v/>
      </c>
      <c r="I35" s="69" t="str">
        <f t="shared" ref="I35:I66" si="28">IFERROR((G35-D35)/D35,"")</f>
        <v/>
      </c>
      <c r="J35" s="31"/>
      <c r="K35" s="78" t="str">
        <f t="shared" ref="K35:K66" si="29">IFERROR(J35/$J$3,"")</f>
        <v/>
      </c>
      <c r="L35" s="69" t="str">
        <f t="shared" ref="L35:L66" si="30">IFERROR((J35-G35)/G35,"")</f>
        <v/>
      </c>
      <c r="M35" s="31"/>
      <c r="N35" s="78" t="str">
        <f t="shared" ref="N35:N66" si="31">IFERROR(M35/$M$3,"")</f>
        <v/>
      </c>
      <c r="O35" s="69" t="str">
        <f t="shared" ref="O35:O66" si="32">IFERROR((M35-J35)/J35,"")</f>
        <v/>
      </c>
      <c r="P35" s="31"/>
      <c r="Q35" s="78" t="str">
        <f t="shared" ref="Q35:Q66" si="33">IFERROR(P35/$P$3,"")</f>
        <v/>
      </c>
      <c r="R35" s="69" t="str">
        <f t="shared" ref="R35:R66" si="34">IFERROR((P35-M35)/M35,"")</f>
        <v/>
      </c>
      <c r="S35" s="31"/>
      <c r="T35" s="78" t="str">
        <f t="shared" ref="T35:T66" si="35">IFERROR(S35/$S$3,"")</f>
        <v/>
      </c>
      <c r="U35" s="69" t="str">
        <f t="shared" ref="U35:U66" si="36">IFERROR((S35-P35)/P35,"")</f>
        <v/>
      </c>
      <c r="V35" s="31"/>
      <c r="W35" s="78" t="str">
        <f t="shared" ref="W35:W66" si="37">IFERROR(V35/$V$3,"")</f>
        <v/>
      </c>
      <c r="X35" s="69" t="str">
        <f t="shared" ref="X35:X66" si="38">IFERROR((V35-S35)/S35,"")</f>
        <v/>
      </c>
      <c r="Y35" s="31"/>
      <c r="Z35" s="78" t="str">
        <f t="shared" ref="Z35:Z66" si="39">IFERROR(Y35/$Y$3,"")</f>
        <v/>
      </c>
      <c r="AA35" s="69" t="str">
        <f t="shared" ref="AA35:AA66" si="40">IFERROR((Y35-V35)/V35,"")</f>
        <v/>
      </c>
      <c r="AB35" s="31"/>
      <c r="AC35" s="78" t="str">
        <f t="shared" ref="AC35:AC66" si="41">IFERROR(AB35/$AB$3,"")</f>
        <v/>
      </c>
      <c r="AD35" s="69" t="str">
        <f t="shared" ref="AD35:AD66" si="42">IFERROR((AB35-Y35)/Y35,"")</f>
        <v/>
      </c>
      <c r="AE35" s="31"/>
      <c r="AF35" s="78" t="str">
        <f t="shared" ref="AF35:AF66" si="43">IFERROR(AE35/$AE$3,"")</f>
        <v/>
      </c>
      <c r="AG35" s="69" t="str">
        <f t="shared" ref="AG35:AG66" si="44">IFERROR((AE35-AB35)/AB35,"")</f>
        <v/>
      </c>
      <c r="AH35" s="31"/>
      <c r="AI35" s="78" t="str">
        <f t="shared" ref="AI35:AI66" si="45">IFERROR(AH35/$AH$3,"")</f>
        <v/>
      </c>
      <c r="AJ35" s="69" t="str">
        <f t="shared" ref="AJ35:AJ66" si="46">IFERROR((AH35-AE35)/AE35,"")</f>
        <v/>
      </c>
      <c r="AK3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5" s="78" t="str">
        <f t="shared" ref="AL35:AL66" si="47">IFERROR(AK35/$AK$3,"")</f>
        <v/>
      </c>
      <c r="AM3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6" spans="1:39" outlineLevel="1" x14ac:dyDescent="0.25">
      <c r="A36" s="30" t="s">
        <v>174</v>
      </c>
      <c r="B36" s="31"/>
      <c r="C36" s="78" t="str">
        <f t="shared" si="24"/>
        <v/>
      </c>
      <c r="D36" s="31"/>
      <c r="E36" s="78" t="str">
        <f t="shared" si="25"/>
        <v/>
      </c>
      <c r="F36" s="69" t="str">
        <f t="shared" si="26"/>
        <v/>
      </c>
      <c r="G36" s="31"/>
      <c r="H36" s="78" t="str">
        <f t="shared" si="27"/>
        <v/>
      </c>
      <c r="I36" s="69" t="str">
        <f t="shared" si="28"/>
        <v/>
      </c>
      <c r="J36" s="31"/>
      <c r="K36" s="78" t="str">
        <f t="shared" si="29"/>
        <v/>
      </c>
      <c r="L36" s="69" t="str">
        <f t="shared" si="30"/>
        <v/>
      </c>
      <c r="M36" s="31"/>
      <c r="N36" s="78" t="str">
        <f t="shared" si="31"/>
        <v/>
      </c>
      <c r="O36" s="69" t="str">
        <f t="shared" si="32"/>
        <v/>
      </c>
      <c r="P36" s="31"/>
      <c r="Q36" s="78" t="str">
        <f t="shared" si="33"/>
        <v/>
      </c>
      <c r="R36" s="69" t="str">
        <f t="shared" si="34"/>
        <v/>
      </c>
      <c r="S36" s="31"/>
      <c r="T36" s="78" t="str">
        <f t="shared" si="35"/>
        <v/>
      </c>
      <c r="U36" s="69" t="str">
        <f t="shared" si="36"/>
        <v/>
      </c>
      <c r="V36" s="31"/>
      <c r="W36" s="78" t="str">
        <f t="shared" si="37"/>
        <v/>
      </c>
      <c r="X36" s="69" t="str">
        <f t="shared" si="38"/>
        <v/>
      </c>
      <c r="Y36" s="31"/>
      <c r="Z36" s="78" t="str">
        <f t="shared" si="39"/>
        <v/>
      </c>
      <c r="AA36" s="69" t="str">
        <f t="shared" si="40"/>
        <v/>
      </c>
      <c r="AB36" s="31"/>
      <c r="AC36" s="78" t="str">
        <f t="shared" si="41"/>
        <v/>
      </c>
      <c r="AD36" s="69" t="str">
        <f t="shared" si="42"/>
        <v/>
      </c>
      <c r="AE36" s="31"/>
      <c r="AF36" s="78" t="str">
        <f t="shared" si="43"/>
        <v/>
      </c>
      <c r="AG36" s="69" t="str">
        <f t="shared" si="44"/>
        <v/>
      </c>
      <c r="AH36" s="31"/>
      <c r="AI36" s="78" t="str">
        <f t="shared" si="45"/>
        <v/>
      </c>
      <c r="AJ36" s="69" t="str">
        <f t="shared" si="46"/>
        <v/>
      </c>
      <c r="AK3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6" s="78" t="str">
        <f t="shared" si="47"/>
        <v/>
      </c>
      <c r="AM3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7" spans="1:39" outlineLevel="1" x14ac:dyDescent="0.25">
      <c r="A37" s="30" t="s">
        <v>175</v>
      </c>
      <c r="B37" s="31"/>
      <c r="C37" s="78" t="str">
        <f t="shared" si="24"/>
        <v/>
      </c>
      <c r="D37" s="31"/>
      <c r="E37" s="78" t="str">
        <f t="shared" si="25"/>
        <v/>
      </c>
      <c r="F37" s="69" t="str">
        <f t="shared" si="26"/>
        <v/>
      </c>
      <c r="G37" s="31"/>
      <c r="H37" s="78" t="str">
        <f t="shared" si="27"/>
        <v/>
      </c>
      <c r="I37" s="69" t="str">
        <f t="shared" si="28"/>
        <v/>
      </c>
      <c r="J37" s="31"/>
      <c r="K37" s="78" t="str">
        <f t="shared" si="29"/>
        <v/>
      </c>
      <c r="L37" s="69" t="str">
        <f t="shared" si="30"/>
        <v/>
      </c>
      <c r="M37" s="31"/>
      <c r="N37" s="78" t="str">
        <f t="shared" si="31"/>
        <v/>
      </c>
      <c r="O37" s="69" t="str">
        <f t="shared" si="32"/>
        <v/>
      </c>
      <c r="P37" s="31"/>
      <c r="Q37" s="78" t="str">
        <f t="shared" si="33"/>
        <v/>
      </c>
      <c r="R37" s="69" t="str">
        <f t="shared" si="34"/>
        <v/>
      </c>
      <c r="S37" s="31"/>
      <c r="T37" s="78" t="str">
        <f t="shared" si="35"/>
        <v/>
      </c>
      <c r="U37" s="69" t="str">
        <f t="shared" si="36"/>
        <v/>
      </c>
      <c r="V37" s="31"/>
      <c r="W37" s="78" t="str">
        <f t="shared" si="37"/>
        <v/>
      </c>
      <c r="X37" s="69" t="str">
        <f t="shared" si="38"/>
        <v/>
      </c>
      <c r="Y37" s="31"/>
      <c r="Z37" s="78" t="str">
        <f t="shared" si="39"/>
        <v/>
      </c>
      <c r="AA37" s="69" t="str">
        <f t="shared" si="40"/>
        <v/>
      </c>
      <c r="AB37" s="31"/>
      <c r="AC37" s="78" t="str">
        <f t="shared" si="41"/>
        <v/>
      </c>
      <c r="AD37" s="69" t="str">
        <f t="shared" si="42"/>
        <v/>
      </c>
      <c r="AE37" s="31"/>
      <c r="AF37" s="78" t="str">
        <f t="shared" si="43"/>
        <v/>
      </c>
      <c r="AG37" s="69" t="str">
        <f t="shared" si="44"/>
        <v/>
      </c>
      <c r="AH37" s="31"/>
      <c r="AI37" s="78" t="str">
        <f t="shared" si="45"/>
        <v/>
      </c>
      <c r="AJ37" s="69" t="str">
        <f t="shared" si="46"/>
        <v/>
      </c>
      <c r="AK3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7" s="78" t="str">
        <f t="shared" si="47"/>
        <v/>
      </c>
      <c r="AM3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8" spans="1:39" outlineLevel="1" x14ac:dyDescent="0.25">
      <c r="A38" s="30"/>
      <c r="B38" s="31"/>
      <c r="C38" s="78" t="str">
        <f t="shared" si="24"/>
        <v/>
      </c>
      <c r="D38" s="31"/>
      <c r="E38" s="78" t="str">
        <f t="shared" si="25"/>
        <v/>
      </c>
      <c r="F38" s="69" t="str">
        <f t="shared" si="26"/>
        <v/>
      </c>
      <c r="G38" s="31"/>
      <c r="H38" s="78" t="str">
        <f t="shared" si="27"/>
        <v/>
      </c>
      <c r="I38" s="69" t="str">
        <f t="shared" si="28"/>
        <v/>
      </c>
      <c r="J38" s="31"/>
      <c r="K38" s="78" t="str">
        <f t="shared" si="29"/>
        <v/>
      </c>
      <c r="L38" s="69" t="str">
        <f t="shared" si="30"/>
        <v/>
      </c>
      <c r="M38" s="31"/>
      <c r="N38" s="78" t="str">
        <f t="shared" si="31"/>
        <v/>
      </c>
      <c r="O38" s="69" t="str">
        <f t="shared" si="32"/>
        <v/>
      </c>
      <c r="P38" s="31"/>
      <c r="Q38" s="78" t="str">
        <f t="shared" si="33"/>
        <v/>
      </c>
      <c r="R38" s="69" t="str">
        <f t="shared" si="34"/>
        <v/>
      </c>
      <c r="S38" s="31"/>
      <c r="T38" s="78" t="str">
        <f t="shared" si="35"/>
        <v/>
      </c>
      <c r="U38" s="69" t="str">
        <f t="shared" si="36"/>
        <v/>
      </c>
      <c r="V38" s="31"/>
      <c r="W38" s="78" t="str">
        <f t="shared" si="37"/>
        <v/>
      </c>
      <c r="X38" s="69" t="str">
        <f t="shared" si="38"/>
        <v/>
      </c>
      <c r="Y38" s="31"/>
      <c r="Z38" s="78" t="str">
        <f t="shared" si="39"/>
        <v/>
      </c>
      <c r="AA38" s="69" t="str">
        <f t="shared" si="40"/>
        <v/>
      </c>
      <c r="AB38" s="31"/>
      <c r="AC38" s="78" t="str">
        <f t="shared" si="41"/>
        <v/>
      </c>
      <c r="AD38" s="69" t="str">
        <f t="shared" si="42"/>
        <v/>
      </c>
      <c r="AE38" s="31"/>
      <c r="AF38" s="78" t="str">
        <f t="shared" si="43"/>
        <v/>
      </c>
      <c r="AG38" s="69" t="str">
        <f t="shared" si="44"/>
        <v/>
      </c>
      <c r="AH38" s="31"/>
      <c r="AI38" s="78" t="str">
        <f t="shared" si="45"/>
        <v/>
      </c>
      <c r="AJ38" s="69" t="str">
        <f t="shared" si="46"/>
        <v/>
      </c>
      <c r="AK3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8" s="78" t="str">
        <f t="shared" si="47"/>
        <v/>
      </c>
      <c r="AM3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39" spans="1:39" outlineLevel="1" x14ac:dyDescent="0.25">
      <c r="A39" s="28" t="s">
        <v>176</v>
      </c>
      <c r="B39" s="29">
        <f>SUM(B40:B42)</f>
        <v>0</v>
      </c>
      <c r="C39" s="77" t="str">
        <f t="shared" si="24"/>
        <v/>
      </c>
      <c r="D39" s="29">
        <f>SUM(D40:D42)</f>
        <v>0</v>
      </c>
      <c r="E39" s="77" t="str">
        <f t="shared" si="25"/>
        <v/>
      </c>
      <c r="F39" s="69" t="str">
        <f t="shared" si="26"/>
        <v/>
      </c>
      <c r="G39" s="29">
        <f>SUM(G40:G42)</f>
        <v>0</v>
      </c>
      <c r="H39" s="77" t="str">
        <f t="shared" si="27"/>
        <v/>
      </c>
      <c r="I39" s="69" t="str">
        <f t="shared" si="28"/>
        <v/>
      </c>
      <c r="J39" s="29">
        <f>SUM(J40:J42)</f>
        <v>0</v>
      </c>
      <c r="K39" s="77" t="str">
        <f t="shared" si="29"/>
        <v/>
      </c>
      <c r="L39" s="69" t="str">
        <f t="shared" si="30"/>
        <v/>
      </c>
      <c r="M39" s="29">
        <f>SUM(M40:M42)</f>
        <v>0</v>
      </c>
      <c r="N39" s="77" t="str">
        <f t="shared" si="31"/>
        <v/>
      </c>
      <c r="O39" s="69" t="str">
        <f t="shared" si="32"/>
        <v/>
      </c>
      <c r="P39" s="29">
        <f>SUM(P40:P42)</f>
        <v>0</v>
      </c>
      <c r="Q39" s="77" t="str">
        <f t="shared" si="33"/>
        <v/>
      </c>
      <c r="R39" s="69" t="str">
        <f t="shared" si="34"/>
        <v/>
      </c>
      <c r="S39" s="29">
        <f>SUM(S40:S42)</f>
        <v>0</v>
      </c>
      <c r="T39" s="77" t="str">
        <f t="shared" si="35"/>
        <v/>
      </c>
      <c r="U39" s="69" t="str">
        <f t="shared" si="36"/>
        <v/>
      </c>
      <c r="V39" s="29">
        <f>SUM(V40:V42)</f>
        <v>0</v>
      </c>
      <c r="W39" s="77" t="str">
        <f t="shared" si="37"/>
        <v/>
      </c>
      <c r="X39" s="69" t="str">
        <f t="shared" si="38"/>
        <v/>
      </c>
      <c r="Y39" s="29">
        <f>SUM(Y40:Y42)</f>
        <v>0</v>
      </c>
      <c r="Z39" s="77" t="str">
        <f t="shared" si="39"/>
        <v/>
      </c>
      <c r="AA39" s="69" t="str">
        <f t="shared" si="40"/>
        <v/>
      </c>
      <c r="AB39" s="29">
        <f>SUM(AB40:AB42)</f>
        <v>0</v>
      </c>
      <c r="AC39" s="77" t="str">
        <f t="shared" si="41"/>
        <v/>
      </c>
      <c r="AD39" s="69" t="str">
        <f t="shared" si="42"/>
        <v/>
      </c>
      <c r="AE39" s="29">
        <f>SUM(AE40:AE42)</f>
        <v>0</v>
      </c>
      <c r="AF39" s="77" t="str">
        <f t="shared" si="43"/>
        <v/>
      </c>
      <c r="AG39" s="69" t="str">
        <f t="shared" si="44"/>
        <v/>
      </c>
      <c r="AH39" s="29">
        <f>SUM(AH40:AH42)</f>
        <v>0</v>
      </c>
      <c r="AI39" s="77" t="str">
        <f t="shared" si="45"/>
        <v/>
      </c>
      <c r="AJ39" s="69" t="str">
        <f t="shared" si="46"/>
        <v/>
      </c>
      <c r="AK39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39" s="77" t="str">
        <f t="shared" si="47"/>
        <v/>
      </c>
      <c r="AM39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40" spans="1:39" outlineLevel="1" x14ac:dyDescent="0.25">
      <c r="A40" s="30" t="s">
        <v>177</v>
      </c>
      <c r="B40" s="31"/>
      <c r="C40" s="78" t="str">
        <f t="shared" si="24"/>
        <v/>
      </c>
      <c r="D40" s="31"/>
      <c r="E40" s="78" t="str">
        <f t="shared" si="25"/>
        <v/>
      </c>
      <c r="F40" s="69" t="str">
        <f t="shared" si="26"/>
        <v/>
      </c>
      <c r="G40" s="31"/>
      <c r="H40" s="78" t="str">
        <f t="shared" si="27"/>
        <v/>
      </c>
      <c r="I40" s="69" t="str">
        <f t="shared" si="28"/>
        <v/>
      </c>
      <c r="J40" s="31"/>
      <c r="K40" s="78" t="str">
        <f t="shared" si="29"/>
        <v/>
      </c>
      <c r="L40" s="69" t="str">
        <f t="shared" si="30"/>
        <v/>
      </c>
      <c r="M40" s="31"/>
      <c r="N40" s="78" t="str">
        <f t="shared" si="31"/>
        <v/>
      </c>
      <c r="O40" s="69" t="str">
        <f t="shared" si="32"/>
        <v/>
      </c>
      <c r="P40" s="31"/>
      <c r="Q40" s="78" t="str">
        <f t="shared" si="33"/>
        <v/>
      </c>
      <c r="R40" s="69" t="str">
        <f t="shared" si="34"/>
        <v/>
      </c>
      <c r="S40" s="31"/>
      <c r="T40" s="78" t="str">
        <f t="shared" si="35"/>
        <v/>
      </c>
      <c r="U40" s="69" t="str">
        <f t="shared" si="36"/>
        <v/>
      </c>
      <c r="V40" s="31"/>
      <c r="W40" s="78" t="str">
        <f t="shared" si="37"/>
        <v/>
      </c>
      <c r="X40" s="69" t="str">
        <f t="shared" si="38"/>
        <v/>
      </c>
      <c r="Y40" s="31"/>
      <c r="Z40" s="78" t="str">
        <f t="shared" si="39"/>
        <v/>
      </c>
      <c r="AA40" s="69" t="str">
        <f t="shared" si="40"/>
        <v/>
      </c>
      <c r="AB40" s="31"/>
      <c r="AC40" s="78" t="str">
        <f t="shared" si="41"/>
        <v/>
      </c>
      <c r="AD40" s="69" t="str">
        <f t="shared" si="42"/>
        <v/>
      </c>
      <c r="AE40" s="31"/>
      <c r="AF40" s="78" t="str">
        <f t="shared" si="43"/>
        <v/>
      </c>
      <c r="AG40" s="69" t="str">
        <f t="shared" si="44"/>
        <v/>
      </c>
      <c r="AH40" s="31"/>
      <c r="AI40" s="78" t="str">
        <f t="shared" si="45"/>
        <v/>
      </c>
      <c r="AJ40" s="69" t="str">
        <f t="shared" si="46"/>
        <v/>
      </c>
      <c r="AK4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0" s="78" t="str">
        <f t="shared" si="47"/>
        <v/>
      </c>
      <c r="AM4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41" spans="1:39" outlineLevel="1" x14ac:dyDescent="0.25">
      <c r="A41" s="30" t="s">
        <v>178</v>
      </c>
      <c r="B41" s="31"/>
      <c r="C41" s="78" t="str">
        <f t="shared" si="24"/>
        <v/>
      </c>
      <c r="D41" s="31"/>
      <c r="E41" s="78" t="str">
        <f t="shared" si="25"/>
        <v/>
      </c>
      <c r="F41" s="69" t="str">
        <f t="shared" si="26"/>
        <v/>
      </c>
      <c r="G41" s="31"/>
      <c r="H41" s="78" t="str">
        <f t="shared" si="27"/>
        <v/>
      </c>
      <c r="I41" s="69" t="str">
        <f t="shared" si="28"/>
        <v/>
      </c>
      <c r="J41" s="31"/>
      <c r="K41" s="78" t="str">
        <f t="shared" si="29"/>
        <v/>
      </c>
      <c r="L41" s="69" t="str">
        <f t="shared" si="30"/>
        <v/>
      </c>
      <c r="M41" s="31"/>
      <c r="N41" s="78" t="str">
        <f t="shared" si="31"/>
        <v/>
      </c>
      <c r="O41" s="69" t="str">
        <f t="shared" si="32"/>
        <v/>
      </c>
      <c r="P41" s="31"/>
      <c r="Q41" s="78" t="str">
        <f t="shared" si="33"/>
        <v/>
      </c>
      <c r="R41" s="69" t="str">
        <f t="shared" si="34"/>
        <v/>
      </c>
      <c r="S41" s="31"/>
      <c r="T41" s="78" t="str">
        <f t="shared" si="35"/>
        <v/>
      </c>
      <c r="U41" s="69" t="str">
        <f t="shared" si="36"/>
        <v/>
      </c>
      <c r="V41" s="31"/>
      <c r="W41" s="78" t="str">
        <f t="shared" si="37"/>
        <v/>
      </c>
      <c r="X41" s="69" t="str">
        <f t="shared" si="38"/>
        <v/>
      </c>
      <c r="Y41" s="31"/>
      <c r="Z41" s="78" t="str">
        <f t="shared" si="39"/>
        <v/>
      </c>
      <c r="AA41" s="69" t="str">
        <f t="shared" si="40"/>
        <v/>
      </c>
      <c r="AB41" s="31"/>
      <c r="AC41" s="78" t="str">
        <f t="shared" si="41"/>
        <v/>
      </c>
      <c r="AD41" s="69" t="str">
        <f t="shared" si="42"/>
        <v/>
      </c>
      <c r="AE41" s="31"/>
      <c r="AF41" s="78" t="str">
        <f t="shared" si="43"/>
        <v/>
      </c>
      <c r="AG41" s="69" t="str">
        <f t="shared" si="44"/>
        <v/>
      </c>
      <c r="AH41" s="31"/>
      <c r="AI41" s="78" t="str">
        <f t="shared" si="45"/>
        <v/>
      </c>
      <c r="AJ41" s="69" t="str">
        <f t="shared" si="46"/>
        <v/>
      </c>
      <c r="AK4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1" s="78" t="str">
        <f t="shared" si="47"/>
        <v/>
      </c>
      <c r="AM4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42" spans="1:39" outlineLevel="1" x14ac:dyDescent="0.25">
      <c r="A42" s="30"/>
      <c r="B42" s="31"/>
      <c r="C42" s="78" t="str">
        <f t="shared" si="24"/>
        <v/>
      </c>
      <c r="D42" s="31"/>
      <c r="E42" s="78" t="str">
        <f t="shared" si="25"/>
        <v/>
      </c>
      <c r="F42" s="69" t="str">
        <f t="shared" si="26"/>
        <v/>
      </c>
      <c r="G42" s="31"/>
      <c r="H42" s="78" t="str">
        <f t="shared" si="27"/>
        <v/>
      </c>
      <c r="I42" s="69" t="str">
        <f t="shared" si="28"/>
        <v/>
      </c>
      <c r="J42" s="31"/>
      <c r="K42" s="78" t="str">
        <f t="shared" si="29"/>
        <v/>
      </c>
      <c r="L42" s="69" t="str">
        <f t="shared" si="30"/>
        <v/>
      </c>
      <c r="M42" s="31"/>
      <c r="N42" s="78" t="str">
        <f t="shared" si="31"/>
        <v/>
      </c>
      <c r="O42" s="69" t="str">
        <f t="shared" si="32"/>
        <v/>
      </c>
      <c r="P42" s="31"/>
      <c r="Q42" s="78" t="str">
        <f t="shared" si="33"/>
        <v/>
      </c>
      <c r="R42" s="69" t="str">
        <f t="shared" si="34"/>
        <v/>
      </c>
      <c r="S42" s="31"/>
      <c r="T42" s="78" t="str">
        <f t="shared" si="35"/>
        <v/>
      </c>
      <c r="U42" s="69" t="str">
        <f t="shared" si="36"/>
        <v/>
      </c>
      <c r="V42" s="31"/>
      <c r="W42" s="78" t="str">
        <f t="shared" si="37"/>
        <v/>
      </c>
      <c r="X42" s="69" t="str">
        <f t="shared" si="38"/>
        <v/>
      </c>
      <c r="Y42" s="31"/>
      <c r="Z42" s="78" t="str">
        <f t="shared" si="39"/>
        <v/>
      </c>
      <c r="AA42" s="69" t="str">
        <f t="shared" si="40"/>
        <v/>
      </c>
      <c r="AB42" s="31"/>
      <c r="AC42" s="78" t="str">
        <f t="shared" si="41"/>
        <v/>
      </c>
      <c r="AD42" s="69" t="str">
        <f t="shared" si="42"/>
        <v/>
      </c>
      <c r="AE42" s="31"/>
      <c r="AF42" s="78" t="str">
        <f t="shared" si="43"/>
        <v/>
      </c>
      <c r="AG42" s="69" t="str">
        <f t="shared" si="44"/>
        <v/>
      </c>
      <c r="AH42" s="31"/>
      <c r="AI42" s="78" t="str">
        <f t="shared" si="45"/>
        <v/>
      </c>
      <c r="AJ42" s="69" t="str">
        <f t="shared" si="46"/>
        <v/>
      </c>
      <c r="AK4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2" s="78" t="str">
        <f t="shared" si="47"/>
        <v/>
      </c>
      <c r="AM4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43" spans="1:39" x14ac:dyDescent="0.25">
      <c r="A43" s="26" t="s">
        <v>179</v>
      </c>
      <c r="B43" s="27">
        <f>B3-B31</f>
        <v>0</v>
      </c>
      <c r="C43" s="76" t="str">
        <f t="shared" si="24"/>
        <v/>
      </c>
      <c r="D43" s="27">
        <f>D3-D31</f>
        <v>0</v>
      </c>
      <c r="E43" s="76" t="str">
        <f t="shared" si="25"/>
        <v/>
      </c>
      <c r="F43" s="69" t="str">
        <f t="shared" si="26"/>
        <v/>
      </c>
      <c r="G43" s="27">
        <f>G3-G31</f>
        <v>0</v>
      </c>
      <c r="H43" s="76" t="str">
        <f t="shared" si="27"/>
        <v/>
      </c>
      <c r="I43" s="69" t="str">
        <f t="shared" si="28"/>
        <v/>
      </c>
      <c r="J43" s="27">
        <f>J3-J31</f>
        <v>0</v>
      </c>
      <c r="K43" s="76" t="str">
        <f t="shared" si="29"/>
        <v/>
      </c>
      <c r="L43" s="69" t="str">
        <f t="shared" si="30"/>
        <v/>
      </c>
      <c r="M43" s="27">
        <f>M3-M31</f>
        <v>0</v>
      </c>
      <c r="N43" s="76" t="str">
        <f t="shared" si="31"/>
        <v/>
      </c>
      <c r="O43" s="69" t="str">
        <f t="shared" si="32"/>
        <v/>
      </c>
      <c r="P43" s="27">
        <f>P3-P31</f>
        <v>0</v>
      </c>
      <c r="Q43" s="76" t="str">
        <f t="shared" si="33"/>
        <v/>
      </c>
      <c r="R43" s="69" t="str">
        <f t="shared" si="34"/>
        <v/>
      </c>
      <c r="S43" s="27">
        <f>S3-S31</f>
        <v>0</v>
      </c>
      <c r="T43" s="76" t="str">
        <f t="shared" si="35"/>
        <v/>
      </c>
      <c r="U43" s="69" t="str">
        <f t="shared" si="36"/>
        <v/>
      </c>
      <c r="V43" s="27">
        <f>V3-V31</f>
        <v>0</v>
      </c>
      <c r="W43" s="76" t="str">
        <f t="shared" si="37"/>
        <v/>
      </c>
      <c r="X43" s="69" t="str">
        <f t="shared" si="38"/>
        <v/>
      </c>
      <c r="Y43" s="27">
        <f>Y3-Y31</f>
        <v>0</v>
      </c>
      <c r="Z43" s="76" t="str">
        <f t="shared" si="39"/>
        <v/>
      </c>
      <c r="AA43" s="69" t="str">
        <f t="shared" si="40"/>
        <v/>
      </c>
      <c r="AB43" s="27">
        <f>AB3-AB31</f>
        <v>0</v>
      </c>
      <c r="AC43" s="76" t="str">
        <f t="shared" si="41"/>
        <v/>
      </c>
      <c r="AD43" s="69" t="str">
        <f t="shared" si="42"/>
        <v/>
      </c>
      <c r="AE43" s="27">
        <f>AE3-AE31</f>
        <v>0</v>
      </c>
      <c r="AF43" s="76" t="str">
        <f t="shared" si="43"/>
        <v/>
      </c>
      <c r="AG43" s="69" t="str">
        <f t="shared" si="44"/>
        <v/>
      </c>
      <c r="AH43" s="27">
        <f>AH3-AH31</f>
        <v>0</v>
      </c>
      <c r="AI43" s="76" t="str">
        <f t="shared" si="45"/>
        <v/>
      </c>
      <c r="AJ43" s="69" t="str">
        <f t="shared" si="46"/>
        <v/>
      </c>
      <c r="AK43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3" s="76" t="str">
        <f t="shared" si="47"/>
        <v/>
      </c>
      <c r="AM43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44" spans="1:39" x14ac:dyDescent="0.25">
      <c r="A44" s="26" t="s">
        <v>180</v>
      </c>
      <c r="B44" s="27">
        <f>B45+B50+B54+B60</f>
        <v>0</v>
      </c>
      <c r="C44" s="76" t="str">
        <f t="shared" si="24"/>
        <v/>
      </c>
      <c r="D44" s="27">
        <f>D45+D50+D54+D60</f>
        <v>0</v>
      </c>
      <c r="E44" s="76" t="str">
        <f t="shared" si="25"/>
        <v/>
      </c>
      <c r="F44" s="69" t="str">
        <f t="shared" si="26"/>
        <v/>
      </c>
      <c r="G44" s="27">
        <f>G45+G50+G54+G60</f>
        <v>0</v>
      </c>
      <c r="H44" s="76" t="str">
        <f t="shared" si="27"/>
        <v/>
      </c>
      <c r="I44" s="69" t="str">
        <f t="shared" si="28"/>
        <v/>
      </c>
      <c r="J44" s="27">
        <f>J45+J50+J54+J60</f>
        <v>0</v>
      </c>
      <c r="K44" s="76" t="str">
        <f t="shared" si="29"/>
        <v/>
      </c>
      <c r="L44" s="69" t="str">
        <f t="shared" si="30"/>
        <v/>
      </c>
      <c r="M44" s="27">
        <f>M45+M50+M54+M60</f>
        <v>0</v>
      </c>
      <c r="N44" s="76" t="str">
        <f t="shared" si="31"/>
        <v/>
      </c>
      <c r="O44" s="69" t="str">
        <f t="shared" si="32"/>
        <v/>
      </c>
      <c r="P44" s="27">
        <f>P45+P50+P54+P60</f>
        <v>0</v>
      </c>
      <c r="Q44" s="76" t="str">
        <f t="shared" si="33"/>
        <v/>
      </c>
      <c r="R44" s="69" t="str">
        <f t="shared" si="34"/>
        <v/>
      </c>
      <c r="S44" s="27">
        <f>S45+S50+S54+S60</f>
        <v>0</v>
      </c>
      <c r="T44" s="76" t="str">
        <f t="shared" si="35"/>
        <v/>
      </c>
      <c r="U44" s="69" t="str">
        <f t="shared" si="36"/>
        <v/>
      </c>
      <c r="V44" s="27">
        <f>V45+V50+V54+V60</f>
        <v>0</v>
      </c>
      <c r="W44" s="76" t="str">
        <f t="shared" si="37"/>
        <v/>
      </c>
      <c r="X44" s="69" t="str">
        <f t="shared" si="38"/>
        <v/>
      </c>
      <c r="Y44" s="27">
        <f>Y45+Y50+Y54+Y60</f>
        <v>0</v>
      </c>
      <c r="Z44" s="76" t="str">
        <f t="shared" si="39"/>
        <v/>
      </c>
      <c r="AA44" s="69" t="str">
        <f t="shared" si="40"/>
        <v/>
      </c>
      <c r="AB44" s="27">
        <f>AB45+AB50+AB54+AB60</f>
        <v>0</v>
      </c>
      <c r="AC44" s="76" t="str">
        <f t="shared" si="41"/>
        <v/>
      </c>
      <c r="AD44" s="69" t="str">
        <f t="shared" si="42"/>
        <v/>
      </c>
      <c r="AE44" s="27">
        <f>AE45+AE50+AE54+AE60</f>
        <v>0</v>
      </c>
      <c r="AF44" s="76" t="str">
        <f t="shared" si="43"/>
        <v/>
      </c>
      <c r="AG44" s="69" t="str">
        <f t="shared" si="44"/>
        <v/>
      </c>
      <c r="AH44" s="27">
        <f>AH45+AH50+AH54+AH60</f>
        <v>0</v>
      </c>
      <c r="AI44" s="76" t="str">
        <f t="shared" si="45"/>
        <v/>
      </c>
      <c r="AJ44" s="69" t="str">
        <f t="shared" si="46"/>
        <v/>
      </c>
      <c r="AK44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4" s="76" t="str">
        <f t="shared" si="47"/>
        <v/>
      </c>
      <c r="AM44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45" spans="1:39" outlineLevel="1" x14ac:dyDescent="0.25">
      <c r="A45" s="28" t="s">
        <v>181</v>
      </c>
      <c r="B45" s="29">
        <f>SUM(B46:B49)</f>
        <v>0</v>
      </c>
      <c r="C45" s="77" t="str">
        <f t="shared" si="24"/>
        <v/>
      </c>
      <c r="D45" s="29">
        <f>SUM(D46:D49)</f>
        <v>0</v>
      </c>
      <c r="E45" s="77" t="str">
        <f t="shared" si="25"/>
        <v/>
      </c>
      <c r="F45" s="69" t="str">
        <f t="shared" si="26"/>
        <v/>
      </c>
      <c r="G45" s="29">
        <f>SUM(G46:G49)</f>
        <v>0</v>
      </c>
      <c r="H45" s="77" t="str">
        <f t="shared" si="27"/>
        <v/>
      </c>
      <c r="I45" s="69" t="str">
        <f t="shared" si="28"/>
        <v/>
      </c>
      <c r="J45" s="29">
        <f>SUM(J46:J49)</f>
        <v>0</v>
      </c>
      <c r="K45" s="77" t="str">
        <f t="shared" si="29"/>
        <v/>
      </c>
      <c r="L45" s="69" t="str">
        <f t="shared" si="30"/>
        <v/>
      </c>
      <c r="M45" s="29">
        <f>SUM(M46:M49)</f>
        <v>0</v>
      </c>
      <c r="N45" s="77" t="str">
        <f t="shared" si="31"/>
        <v/>
      </c>
      <c r="O45" s="69" t="str">
        <f t="shared" si="32"/>
        <v/>
      </c>
      <c r="P45" s="29">
        <f>SUM(P46:P49)</f>
        <v>0</v>
      </c>
      <c r="Q45" s="77" t="str">
        <f t="shared" si="33"/>
        <v/>
      </c>
      <c r="R45" s="69" t="str">
        <f t="shared" si="34"/>
        <v/>
      </c>
      <c r="S45" s="29">
        <f>SUM(S46:S49)</f>
        <v>0</v>
      </c>
      <c r="T45" s="77" t="str">
        <f t="shared" si="35"/>
        <v/>
      </c>
      <c r="U45" s="69" t="str">
        <f t="shared" si="36"/>
        <v/>
      </c>
      <c r="V45" s="29">
        <f>SUM(V46:V49)</f>
        <v>0</v>
      </c>
      <c r="W45" s="77" t="str">
        <f t="shared" si="37"/>
        <v/>
      </c>
      <c r="X45" s="69" t="str">
        <f t="shared" si="38"/>
        <v/>
      </c>
      <c r="Y45" s="29">
        <f>SUM(Y46:Y49)</f>
        <v>0</v>
      </c>
      <c r="Z45" s="77" t="str">
        <f t="shared" si="39"/>
        <v/>
      </c>
      <c r="AA45" s="69" t="str">
        <f t="shared" si="40"/>
        <v/>
      </c>
      <c r="AB45" s="29">
        <f>SUM(AB46:AB49)</f>
        <v>0</v>
      </c>
      <c r="AC45" s="77" t="str">
        <f t="shared" si="41"/>
        <v/>
      </c>
      <c r="AD45" s="69" t="str">
        <f t="shared" si="42"/>
        <v/>
      </c>
      <c r="AE45" s="29">
        <f>SUM(AE46:AE49)</f>
        <v>0</v>
      </c>
      <c r="AF45" s="77" t="str">
        <f t="shared" si="43"/>
        <v/>
      </c>
      <c r="AG45" s="69" t="str">
        <f t="shared" si="44"/>
        <v/>
      </c>
      <c r="AH45" s="29">
        <f>SUM(AH46:AH49)</f>
        <v>0</v>
      </c>
      <c r="AI45" s="77" t="str">
        <f t="shared" si="45"/>
        <v/>
      </c>
      <c r="AJ45" s="69" t="str">
        <f t="shared" si="46"/>
        <v/>
      </c>
      <c r="AK45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5" s="77" t="str">
        <f t="shared" si="47"/>
        <v/>
      </c>
      <c r="AM45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46" spans="1:39" outlineLevel="1" x14ac:dyDescent="0.25">
      <c r="A46" s="30" t="s">
        <v>182</v>
      </c>
      <c r="B46" s="31"/>
      <c r="C46" s="78" t="str">
        <f t="shared" si="24"/>
        <v/>
      </c>
      <c r="D46" s="31"/>
      <c r="E46" s="78" t="str">
        <f t="shared" si="25"/>
        <v/>
      </c>
      <c r="F46" s="69" t="str">
        <f t="shared" si="26"/>
        <v/>
      </c>
      <c r="G46" s="31"/>
      <c r="H46" s="78" t="str">
        <f t="shared" si="27"/>
        <v/>
      </c>
      <c r="I46" s="69" t="str">
        <f t="shared" si="28"/>
        <v/>
      </c>
      <c r="J46" s="31"/>
      <c r="K46" s="78" t="str">
        <f t="shared" si="29"/>
        <v/>
      </c>
      <c r="L46" s="69" t="str">
        <f t="shared" si="30"/>
        <v/>
      </c>
      <c r="M46" s="31"/>
      <c r="N46" s="78" t="str">
        <f t="shared" si="31"/>
        <v/>
      </c>
      <c r="O46" s="69" t="str">
        <f t="shared" si="32"/>
        <v/>
      </c>
      <c r="P46" s="31"/>
      <c r="Q46" s="78" t="str">
        <f t="shared" si="33"/>
        <v/>
      </c>
      <c r="R46" s="69" t="str">
        <f t="shared" si="34"/>
        <v/>
      </c>
      <c r="S46" s="31"/>
      <c r="T46" s="78" t="str">
        <f t="shared" si="35"/>
        <v/>
      </c>
      <c r="U46" s="69" t="str">
        <f t="shared" si="36"/>
        <v/>
      </c>
      <c r="V46" s="31"/>
      <c r="W46" s="78" t="str">
        <f t="shared" si="37"/>
        <v/>
      </c>
      <c r="X46" s="69" t="str">
        <f t="shared" si="38"/>
        <v/>
      </c>
      <c r="Y46" s="31"/>
      <c r="Z46" s="78" t="str">
        <f t="shared" si="39"/>
        <v/>
      </c>
      <c r="AA46" s="69" t="str">
        <f t="shared" si="40"/>
        <v/>
      </c>
      <c r="AB46" s="31"/>
      <c r="AC46" s="78" t="str">
        <f t="shared" si="41"/>
        <v/>
      </c>
      <c r="AD46" s="69" t="str">
        <f t="shared" si="42"/>
        <v/>
      </c>
      <c r="AE46" s="31"/>
      <c r="AF46" s="78" t="str">
        <f t="shared" si="43"/>
        <v/>
      </c>
      <c r="AG46" s="69" t="str">
        <f t="shared" si="44"/>
        <v/>
      </c>
      <c r="AH46" s="31"/>
      <c r="AI46" s="78" t="str">
        <f t="shared" si="45"/>
        <v/>
      </c>
      <c r="AJ46" s="69" t="str">
        <f t="shared" si="46"/>
        <v/>
      </c>
      <c r="AK4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6" s="78" t="str">
        <f t="shared" si="47"/>
        <v/>
      </c>
      <c r="AM4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47" spans="1:39" outlineLevel="1" x14ac:dyDescent="0.25">
      <c r="A47" s="30" t="s">
        <v>183</v>
      </c>
      <c r="B47" s="31"/>
      <c r="C47" s="78" t="str">
        <f t="shared" si="24"/>
        <v/>
      </c>
      <c r="D47" s="31"/>
      <c r="E47" s="78" t="str">
        <f t="shared" si="25"/>
        <v/>
      </c>
      <c r="F47" s="69" t="str">
        <f t="shared" si="26"/>
        <v/>
      </c>
      <c r="G47" s="31"/>
      <c r="H47" s="78" t="str">
        <f t="shared" si="27"/>
        <v/>
      </c>
      <c r="I47" s="69" t="str">
        <f t="shared" si="28"/>
        <v/>
      </c>
      <c r="J47" s="31"/>
      <c r="K47" s="78" t="str">
        <f t="shared" si="29"/>
        <v/>
      </c>
      <c r="L47" s="69" t="str">
        <f t="shared" si="30"/>
        <v/>
      </c>
      <c r="M47" s="31"/>
      <c r="N47" s="78" t="str">
        <f t="shared" si="31"/>
        <v/>
      </c>
      <c r="O47" s="69" t="str">
        <f t="shared" si="32"/>
        <v/>
      </c>
      <c r="P47" s="31"/>
      <c r="Q47" s="78" t="str">
        <f t="shared" si="33"/>
        <v/>
      </c>
      <c r="R47" s="69" t="str">
        <f t="shared" si="34"/>
        <v/>
      </c>
      <c r="S47" s="31"/>
      <c r="T47" s="78" t="str">
        <f t="shared" si="35"/>
        <v/>
      </c>
      <c r="U47" s="69" t="str">
        <f t="shared" si="36"/>
        <v/>
      </c>
      <c r="V47" s="31"/>
      <c r="W47" s="78" t="str">
        <f t="shared" si="37"/>
        <v/>
      </c>
      <c r="X47" s="69" t="str">
        <f t="shared" si="38"/>
        <v/>
      </c>
      <c r="Y47" s="31"/>
      <c r="Z47" s="78" t="str">
        <f t="shared" si="39"/>
        <v/>
      </c>
      <c r="AA47" s="69" t="str">
        <f t="shared" si="40"/>
        <v/>
      </c>
      <c r="AB47" s="31"/>
      <c r="AC47" s="78" t="str">
        <f t="shared" si="41"/>
        <v/>
      </c>
      <c r="AD47" s="69" t="str">
        <f t="shared" si="42"/>
        <v/>
      </c>
      <c r="AE47" s="31"/>
      <c r="AF47" s="78" t="str">
        <f t="shared" si="43"/>
        <v/>
      </c>
      <c r="AG47" s="69" t="str">
        <f t="shared" si="44"/>
        <v/>
      </c>
      <c r="AH47" s="31"/>
      <c r="AI47" s="78" t="str">
        <f t="shared" si="45"/>
        <v/>
      </c>
      <c r="AJ47" s="69" t="str">
        <f t="shared" si="46"/>
        <v/>
      </c>
      <c r="AK4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7" s="78" t="str">
        <f t="shared" si="47"/>
        <v/>
      </c>
      <c r="AM4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48" spans="1:39" outlineLevel="1" x14ac:dyDescent="0.25">
      <c r="A48" s="30" t="s">
        <v>184</v>
      </c>
      <c r="B48" s="31"/>
      <c r="C48" s="78" t="str">
        <f t="shared" si="24"/>
        <v/>
      </c>
      <c r="D48" s="31"/>
      <c r="E48" s="78" t="str">
        <f t="shared" si="25"/>
        <v/>
      </c>
      <c r="F48" s="69" t="str">
        <f t="shared" si="26"/>
        <v/>
      </c>
      <c r="G48" s="31"/>
      <c r="H48" s="78" t="str">
        <f t="shared" si="27"/>
        <v/>
      </c>
      <c r="I48" s="69" t="str">
        <f t="shared" si="28"/>
        <v/>
      </c>
      <c r="J48" s="31"/>
      <c r="K48" s="78" t="str">
        <f t="shared" si="29"/>
        <v/>
      </c>
      <c r="L48" s="69" t="str">
        <f t="shared" si="30"/>
        <v/>
      </c>
      <c r="M48" s="31"/>
      <c r="N48" s="78" t="str">
        <f t="shared" si="31"/>
        <v/>
      </c>
      <c r="O48" s="69" t="str">
        <f t="shared" si="32"/>
        <v/>
      </c>
      <c r="P48" s="31"/>
      <c r="Q48" s="78" t="str">
        <f t="shared" si="33"/>
        <v/>
      </c>
      <c r="R48" s="69" t="str">
        <f t="shared" si="34"/>
        <v/>
      </c>
      <c r="S48" s="31"/>
      <c r="T48" s="78" t="str">
        <f t="shared" si="35"/>
        <v/>
      </c>
      <c r="U48" s="69" t="str">
        <f t="shared" si="36"/>
        <v/>
      </c>
      <c r="V48" s="31"/>
      <c r="W48" s="78" t="str">
        <f t="shared" si="37"/>
        <v/>
      </c>
      <c r="X48" s="69" t="str">
        <f t="shared" si="38"/>
        <v/>
      </c>
      <c r="Y48" s="31"/>
      <c r="Z48" s="78" t="str">
        <f t="shared" si="39"/>
        <v/>
      </c>
      <c r="AA48" s="69" t="str">
        <f t="shared" si="40"/>
        <v/>
      </c>
      <c r="AB48" s="31"/>
      <c r="AC48" s="78" t="str">
        <f t="shared" si="41"/>
        <v/>
      </c>
      <c r="AD48" s="69" t="str">
        <f t="shared" si="42"/>
        <v/>
      </c>
      <c r="AE48" s="31"/>
      <c r="AF48" s="78" t="str">
        <f t="shared" si="43"/>
        <v/>
      </c>
      <c r="AG48" s="69" t="str">
        <f t="shared" si="44"/>
        <v/>
      </c>
      <c r="AH48" s="31"/>
      <c r="AI48" s="78" t="str">
        <f t="shared" si="45"/>
        <v/>
      </c>
      <c r="AJ48" s="69" t="str">
        <f t="shared" si="46"/>
        <v/>
      </c>
      <c r="AK4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8" s="78" t="str">
        <f t="shared" si="47"/>
        <v/>
      </c>
      <c r="AM4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49" spans="1:39" outlineLevel="1" x14ac:dyDescent="0.25">
      <c r="A49" s="30"/>
      <c r="B49" s="31"/>
      <c r="C49" s="78" t="str">
        <f t="shared" si="24"/>
        <v/>
      </c>
      <c r="D49" s="31"/>
      <c r="E49" s="78" t="str">
        <f t="shared" si="25"/>
        <v/>
      </c>
      <c r="F49" s="69" t="str">
        <f t="shared" si="26"/>
        <v/>
      </c>
      <c r="G49" s="31"/>
      <c r="H49" s="78" t="str">
        <f t="shared" si="27"/>
        <v/>
      </c>
      <c r="I49" s="69" t="str">
        <f t="shared" si="28"/>
        <v/>
      </c>
      <c r="J49" s="31"/>
      <c r="K49" s="78" t="str">
        <f t="shared" si="29"/>
        <v/>
      </c>
      <c r="L49" s="69" t="str">
        <f t="shared" si="30"/>
        <v/>
      </c>
      <c r="M49" s="31"/>
      <c r="N49" s="78" t="str">
        <f t="shared" si="31"/>
        <v/>
      </c>
      <c r="O49" s="69" t="str">
        <f t="shared" si="32"/>
        <v/>
      </c>
      <c r="P49" s="31"/>
      <c r="Q49" s="78" t="str">
        <f t="shared" si="33"/>
        <v/>
      </c>
      <c r="R49" s="69" t="str">
        <f t="shared" si="34"/>
        <v/>
      </c>
      <c r="S49" s="31"/>
      <c r="T49" s="78" t="str">
        <f t="shared" si="35"/>
        <v/>
      </c>
      <c r="U49" s="69" t="str">
        <f t="shared" si="36"/>
        <v/>
      </c>
      <c r="V49" s="31"/>
      <c r="W49" s="78" t="str">
        <f t="shared" si="37"/>
        <v/>
      </c>
      <c r="X49" s="69" t="str">
        <f t="shared" si="38"/>
        <v/>
      </c>
      <c r="Y49" s="31"/>
      <c r="Z49" s="78" t="str">
        <f t="shared" si="39"/>
        <v/>
      </c>
      <c r="AA49" s="69" t="str">
        <f t="shared" si="40"/>
        <v/>
      </c>
      <c r="AB49" s="31"/>
      <c r="AC49" s="78" t="str">
        <f t="shared" si="41"/>
        <v/>
      </c>
      <c r="AD49" s="69" t="str">
        <f t="shared" si="42"/>
        <v/>
      </c>
      <c r="AE49" s="31"/>
      <c r="AF49" s="78" t="str">
        <f t="shared" si="43"/>
        <v/>
      </c>
      <c r="AG49" s="69" t="str">
        <f t="shared" si="44"/>
        <v/>
      </c>
      <c r="AH49" s="31"/>
      <c r="AI49" s="78" t="str">
        <f t="shared" si="45"/>
        <v/>
      </c>
      <c r="AJ49" s="69" t="str">
        <f t="shared" si="46"/>
        <v/>
      </c>
      <c r="AK4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49" s="78" t="str">
        <f t="shared" si="47"/>
        <v/>
      </c>
      <c r="AM4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0" spans="1:39" outlineLevel="1" x14ac:dyDescent="0.25">
      <c r="A50" s="28" t="s">
        <v>185</v>
      </c>
      <c r="B50" s="29">
        <f>SUM(B51:B53)</f>
        <v>0</v>
      </c>
      <c r="C50" s="77" t="str">
        <f t="shared" si="24"/>
        <v/>
      </c>
      <c r="D50" s="29">
        <f>SUM(D51:D53)</f>
        <v>0</v>
      </c>
      <c r="E50" s="77" t="str">
        <f t="shared" si="25"/>
        <v/>
      </c>
      <c r="F50" s="69" t="str">
        <f t="shared" si="26"/>
        <v/>
      </c>
      <c r="G50" s="29">
        <f>SUM(G51:G53)</f>
        <v>0</v>
      </c>
      <c r="H50" s="77" t="str">
        <f t="shared" si="27"/>
        <v/>
      </c>
      <c r="I50" s="69" t="str">
        <f t="shared" si="28"/>
        <v/>
      </c>
      <c r="J50" s="29">
        <f>SUM(J51:J53)</f>
        <v>0</v>
      </c>
      <c r="K50" s="77" t="str">
        <f t="shared" si="29"/>
        <v/>
      </c>
      <c r="L50" s="69" t="str">
        <f t="shared" si="30"/>
        <v/>
      </c>
      <c r="M50" s="29">
        <f>SUM(M51:M53)</f>
        <v>0</v>
      </c>
      <c r="N50" s="77" t="str">
        <f t="shared" si="31"/>
        <v/>
      </c>
      <c r="O50" s="69" t="str">
        <f t="shared" si="32"/>
        <v/>
      </c>
      <c r="P50" s="29">
        <f>SUM(P51:P53)</f>
        <v>0</v>
      </c>
      <c r="Q50" s="77" t="str">
        <f t="shared" si="33"/>
        <v/>
      </c>
      <c r="R50" s="69" t="str">
        <f t="shared" si="34"/>
        <v/>
      </c>
      <c r="S50" s="29">
        <f>SUM(S51:S53)</f>
        <v>0</v>
      </c>
      <c r="T50" s="77" t="str">
        <f t="shared" si="35"/>
        <v/>
      </c>
      <c r="U50" s="69" t="str">
        <f t="shared" si="36"/>
        <v/>
      </c>
      <c r="V50" s="29">
        <f>SUM(V51:V53)</f>
        <v>0</v>
      </c>
      <c r="W50" s="77" t="str">
        <f t="shared" si="37"/>
        <v/>
      </c>
      <c r="X50" s="69" t="str">
        <f t="shared" si="38"/>
        <v/>
      </c>
      <c r="Y50" s="29">
        <f>SUM(Y51:Y53)</f>
        <v>0</v>
      </c>
      <c r="Z50" s="77" t="str">
        <f t="shared" si="39"/>
        <v/>
      </c>
      <c r="AA50" s="69" t="str">
        <f t="shared" si="40"/>
        <v/>
      </c>
      <c r="AB50" s="29">
        <f>SUM(AB51:AB53)</f>
        <v>0</v>
      </c>
      <c r="AC50" s="77" t="str">
        <f t="shared" si="41"/>
        <v/>
      </c>
      <c r="AD50" s="69" t="str">
        <f t="shared" si="42"/>
        <v/>
      </c>
      <c r="AE50" s="29">
        <f>SUM(AE51:AE53)</f>
        <v>0</v>
      </c>
      <c r="AF50" s="77" t="str">
        <f t="shared" si="43"/>
        <v/>
      </c>
      <c r="AG50" s="69" t="str">
        <f t="shared" si="44"/>
        <v/>
      </c>
      <c r="AH50" s="29">
        <f>SUM(AH51:AH53)</f>
        <v>0</v>
      </c>
      <c r="AI50" s="77" t="str">
        <f t="shared" si="45"/>
        <v/>
      </c>
      <c r="AJ50" s="69" t="str">
        <f t="shared" si="46"/>
        <v/>
      </c>
      <c r="AK50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0" s="77" t="str">
        <f t="shared" si="47"/>
        <v/>
      </c>
      <c r="AM50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51" spans="1:39" outlineLevel="1" x14ac:dyDescent="0.25">
      <c r="A51" s="30" t="s">
        <v>186</v>
      </c>
      <c r="B51" s="31"/>
      <c r="C51" s="78" t="str">
        <f t="shared" si="24"/>
        <v/>
      </c>
      <c r="D51" s="31"/>
      <c r="E51" s="78" t="str">
        <f t="shared" si="25"/>
        <v/>
      </c>
      <c r="F51" s="69" t="str">
        <f t="shared" si="26"/>
        <v/>
      </c>
      <c r="G51" s="31"/>
      <c r="H51" s="78" t="str">
        <f t="shared" si="27"/>
        <v/>
      </c>
      <c r="I51" s="69" t="str">
        <f t="shared" si="28"/>
        <v/>
      </c>
      <c r="J51" s="31"/>
      <c r="K51" s="78" t="str">
        <f t="shared" si="29"/>
        <v/>
      </c>
      <c r="L51" s="69" t="str">
        <f t="shared" si="30"/>
        <v/>
      </c>
      <c r="M51" s="31"/>
      <c r="N51" s="78" t="str">
        <f t="shared" si="31"/>
        <v/>
      </c>
      <c r="O51" s="69" t="str">
        <f t="shared" si="32"/>
        <v/>
      </c>
      <c r="P51" s="31"/>
      <c r="Q51" s="78" t="str">
        <f t="shared" si="33"/>
        <v/>
      </c>
      <c r="R51" s="69" t="str">
        <f t="shared" si="34"/>
        <v/>
      </c>
      <c r="S51" s="31"/>
      <c r="T51" s="78" t="str">
        <f t="shared" si="35"/>
        <v/>
      </c>
      <c r="U51" s="69" t="str">
        <f t="shared" si="36"/>
        <v/>
      </c>
      <c r="V51" s="31"/>
      <c r="W51" s="78" t="str">
        <f t="shared" si="37"/>
        <v/>
      </c>
      <c r="X51" s="69" t="str">
        <f t="shared" si="38"/>
        <v/>
      </c>
      <c r="Y51" s="31"/>
      <c r="Z51" s="78" t="str">
        <f t="shared" si="39"/>
        <v/>
      </c>
      <c r="AA51" s="69" t="str">
        <f t="shared" si="40"/>
        <v/>
      </c>
      <c r="AB51" s="31"/>
      <c r="AC51" s="78" t="str">
        <f t="shared" si="41"/>
        <v/>
      </c>
      <c r="AD51" s="69" t="str">
        <f t="shared" si="42"/>
        <v/>
      </c>
      <c r="AE51" s="31"/>
      <c r="AF51" s="78" t="str">
        <f t="shared" si="43"/>
        <v/>
      </c>
      <c r="AG51" s="69" t="str">
        <f t="shared" si="44"/>
        <v/>
      </c>
      <c r="AH51" s="31"/>
      <c r="AI51" s="78" t="str">
        <f t="shared" si="45"/>
        <v/>
      </c>
      <c r="AJ51" s="69" t="str">
        <f t="shared" si="46"/>
        <v/>
      </c>
      <c r="AK5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1" s="78" t="str">
        <f t="shared" si="47"/>
        <v/>
      </c>
      <c r="AM5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2" spans="1:39" outlineLevel="1" x14ac:dyDescent="0.25">
      <c r="A52" s="30" t="s">
        <v>187</v>
      </c>
      <c r="B52" s="31"/>
      <c r="C52" s="78" t="str">
        <f t="shared" si="24"/>
        <v/>
      </c>
      <c r="D52" s="31"/>
      <c r="E52" s="78" t="str">
        <f t="shared" si="25"/>
        <v/>
      </c>
      <c r="F52" s="69" t="str">
        <f t="shared" si="26"/>
        <v/>
      </c>
      <c r="G52" s="31"/>
      <c r="H52" s="78" t="str">
        <f t="shared" si="27"/>
        <v/>
      </c>
      <c r="I52" s="69" t="str">
        <f t="shared" si="28"/>
        <v/>
      </c>
      <c r="J52" s="31"/>
      <c r="K52" s="78" t="str">
        <f t="shared" si="29"/>
        <v/>
      </c>
      <c r="L52" s="69" t="str">
        <f t="shared" si="30"/>
        <v/>
      </c>
      <c r="M52" s="31"/>
      <c r="N52" s="78" t="str">
        <f t="shared" si="31"/>
        <v/>
      </c>
      <c r="O52" s="69" t="str">
        <f t="shared" si="32"/>
        <v/>
      </c>
      <c r="P52" s="31"/>
      <c r="Q52" s="78" t="str">
        <f t="shared" si="33"/>
        <v/>
      </c>
      <c r="R52" s="69" t="str">
        <f t="shared" si="34"/>
        <v/>
      </c>
      <c r="S52" s="31"/>
      <c r="T52" s="78" t="str">
        <f t="shared" si="35"/>
        <v/>
      </c>
      <c r="U52" s="69" t="str">
        <f t="shared" si="36"/>
        <v/>
      </c>
      <c r="V52" s="31"/>
      <c r="W52" s="78" t="str">
        <f t="shared" si="37"/>
        <v/>
      </c>
      <c r="X52" s="69" t="str">
        <f t="shared" si="38"/>
        <v/>
      </c>
      <c r="Y52" s="31"/>
      <c r="Z52" s="78" t="str">
        <f t="shared" si="39"/>
        <v/>
      </c>
      <c r="AA52" s="69" t="str">
        <f t="shared" si="40"/>
        <v/>
      </c>
      <c r="AB52" s="31"/>
      <c r="AC52" s="78" t="str">
        <f t="shared" si="41"/>
        <v/>
      </c>
      <c r="AD52" s="69" t="str">
        <f t="shared" si="42"/>
        <v/>
      </c>
      <c r="AE52" s="31"/>
      <c r="AF52" s="78" t="str">
        <f t="shared" si="43"/>
        <v/>
      </c>
      <c r="AG52" s="69" t="str">
        <f t="shared" si="44"/>
        <v/>
      </c>
      <c r="AH52" s="31"/>
      <c r="AI52" s="78" t="str">
        <f t="shared" si="45"/>
        <v/>
      </c>
      <c r="AJ52" s="69" t="str">
        <f t="shared" si="46"/>
        <v/>
      </c>
      <c r="AK5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2" s="78" t="str">
        <f t="shared" si="47"/>
        <v/>
      </c>
      <c r="AM5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3" spans="1:39" outlineLevel="1" x14ac:dyDescent="0.25">
      <c r="A53" s="30"/>
      <c r="B53" s="31"/>
      <c r="C53" s="78" t="str">
        <f t="shared" si="24"/>
        <v/>
      </c>
      <c r="D53" s="31"/>
      <c r="E53" s="78" t="str">
        <f t="shared" si="25"/>
        <v/>
      </c>
      <c r="F53" s="69" t="str">
        <f t="shared" si="26"/>
        <v/>
      </c>
      <c r="G53" s="31"/>
      <c r="H53" s="78" t="str">
        <f t="shared" si="27"/>
        <v/>
      </c>
      <c r="I53" s="69" t="str">
        <f t="shared" si="28"/>
        <v/>
      </c>
      <c r="J53" s="31"/>
      <c r="K53" s="78" t="str">
        <f t="shared" si="29"/>
        <v/>
      </c>
      <c r="L53" s="69" t="str">
        <f t="shared" si="30"/>
        <v/>
      </c>
      <c r="M53" s="31"/>
      <c r="N53" s="78" t="str">
        <f t="shared" si="31"/>
        <v/>
      </c>
      <c r="O53" s="69" t="str">
        <f t="shared" si="32"/>
        <v/>
      </c>
      <c r="P53" s="31"/>
      <c r="Q53" s="78" t="str">
        <f t="shared" si="33"/>
        <v/>
      </c>
      <c r="R53" s="69" t="str">
        <f t="shared" si="34"/>
        <v/>
      </c>
      <c r="S53" s="31"/>
      <c r="T53" s="78" t="str">
        <f t="shared" si="35"/>
        <v/>
      </c>
      <c r="U53" s="69" t="str">
        <f t="shared" si="36"/>
        <v/>
      </c>
      <c r="V53" s="31"/>
      <c r="W53" s="78" t="str">
        <f t="shared" si="37"/>
        <v/>
      </c>
      <c r="X53" s="69" t="str">
        <f t="shared" si="38"/>
        <v/>
      </c>
      <c r="Y53" s="31"/>
      <c r="Z53" s="78" t="str">
        <f t="shared" si="39"/>
        <v/>
      </c>
      <c r="AA53" s="69" t="str">
        <f t="shared" si="40"/>
        <v/>
      </c>
      <c r="AB53" s="31"/>
      <c r="AC53" s="78" t="str">
        <f t="shared" si="41"/>
        <v/>
      </c>
      <c r="AD53" s="69" t="str">
        <f t="shared" si="42"/>
        <v/>
      </c>
      <c r="AE53" s="31"/>
      <c r="AF53" s="78" t="str">
        <f t="shared" si="43"/>
        <v/>
      </c>
      <c r="AG53" s="69" t="str">
        <f t="shared" si="44"/>
        <v/>
      </c>
      <c r="AH53" s="31"/>
      <c r="AI53" s="78" t="str">
        <f t="shared" si="45"/>
        <v/>
      </c>
      <c r="AJ53" s="69" t="str">
        <f t="shared" si="46"/>
        <v/>
      </c>
      <c r="AK5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3" s="78" t="str">
        <f t="shared" si="47"/>
        <v/>
      </c>
      <c r="AM5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4" spans="1:39" outlineLevel="1" x14ac:dyDescent="0.25">
      <c r="A54" s="28" t="s">
        <v>188</v>
      </c>
      <c r="B54" s="29">
        <f>SUM(B55:B63)</f>
        <v>0</v>
      </c>
      <c r="C54" s="77" t="str">
        <f t="shared" si="24"/>
        <v/>
      </c>
      <c r="D54" s="29">
        <f>SUM(D55:D63)</f>
        <v>0</v>
      </c>
      <c r="E54" s="77" t="str">
        <f t="shared" si="25"/>
        <v/>
      </c>
      <c r="F54" s="69" t="str">
        <f t="shared" si="26"/>
        <v/>
      </c>
      <c r="G54" s="29">
        <f>SUM(G55:G63)</f>
        <v>0</v>
      </c>
      <c r="H54" s="77" t="str">
        <f t="shared" si="27"/>
        <v/>
      </c>
      <c r="I54" s="69" t="str">
        <f t="shared" si="28"/>
        <v/>
      </c>
      <c r="J54" s="29">
        <f>SUM(J55:J63)</f>
        <v>0</v>
      </c>
      <c r="K54" s="77" t="str">
        <f t="shared" si="29"/>
        <v/>
      </c>
      <c r="L54" s="69" t="str">
        <f t="shared" si="30"/>
        <v/>
      </c>
      <c r="M54" s="29">
        <f>SUM(M55:M63)</f>
        <v>0</v>
      </c>
      <c r="N54" s="77" t="str">
        <f t="shared" si="31"/>
        <v/>
      </c>
      <c r="O54" s="69" t="str">
        <f t="shared" si="32"/>
        <v/>
      </c>
      <c r="P54" s="29">
        <f>SUM(P55:P63)</f>
        <v>0</v>
      </c>
      <c r="Q54" s="77" t="str">
        <f t="shared" si="33"/>
        <v/>
      </c>
      <c r="R54" s="69" t="str">
        <f t="shared" si="34"/>
        <v/>
      </c>
      <c r="S54" s="29">
        <f>SUM(S55:S63)</f>
        <v>0</v>
      </c>
      <c r="T54" s="77" t="str">
        <f t="shared" si="35"/>
        <v/>
      </c>
      <c r="U54" s="69" t="str">
        <f t="shared" si="36"/>
        <v/>
      </c>
      <c r="V54" s="29">
        <f>SUM(V55:V63)</f>
        <v>0</v>
      </c>
      <c r="W54" s="77" t="str">
        <f t="shared" si="37"/>
        <v/>
      </c>
      <c r="X54" s="69" t="str">
        <f t="shared" si="38"/>
        <v/>
      </c>
      <c r="Y54" s="29">
        <f>SUM(Y55:Y63)</f>
        <v>0</v>
      </c>
      <c r="Z54" s="77" t="str">
        <f t="shared" si="39"/>
        <v/>
      </c>
      <c r="AA54" s="69" t="str">
        <f t="shared" si="40"/>
        <v/>
      </c>
      <c r="AB54" s="29">
        <f>SUM(AB55:AB63)</f>
        <v>0</v>
      </c>
      <c r="AC54" s="77" t="str">
        <f t="shared" si="41"/>
        <v/>
      </c>
      <c r="AD54" s="69" t="str">
        <f t="shared" si="42"/>
        <v/>
      </c>
      <c r="AE54" s="29">
        <f>SUM(AE55:AE63)</f>
        <v>0</v>
      </c>
      <c r="AF54" s="77" t="str">
        <f t="shared" si="43"/>
        <v/>
      </c>
      <c r="AG54" s="69" t="str">
        <f t="shared" si="44"/>
        <v/>
      </c>
      <c r="AH54" s="29">
        <f>SUM(AH55:AH63)</f>
        <v>0</v>
      </c>
      <c r="AI54" s="77" t="str">
        <f t="shared" si="45"/>
        <v/>
      </c>
      <c r="AJ54" s="69" t="str">
        <f t="shared" si="46"/>
        <v/>
      </c>
      <c r="AK54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4" s="77" t="str">
        <f t="shared" si="47"/>
        <v/>
      </c>
      <c r="AM54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55" spans="1:39" outlineLevel="1" x14ac:dyDescent="0.25">
      <c r="A55" s="30" t="s">
        <v>189</v>
      </c>
      <c r="B55" s="31"/>
      <c r="C55" s="78" t="str">
        <f t="shared" si="24"/>
        <v/>
      </c>
      <c r="D55" s="31"/>
      <c r="E55" s="78" t="str">
        <f t="shared" si="25"/>
        <v/>
      </c>
      <c r="F55" s="69" t="str">
        <f t="shared" si="26"/>
        <v/>
      </c>
      <c r="G55" s="31"/>
      <c r="H55" s="78" t="str">
        <f t="shared" si="27"/>
        <v/>
      </c>
      <c r="I55" s="69" t="str">
        <f t="shared" si="28"/>
        <v/>
      </c>
      <c r="J55" s="31"/>
      <c r="K55" s="78" t="str">
        <f t="shared" si="29"/>
        <v/>
      </c>
      <c r="L55" s="69" t="str">
        <f t="shared" si="30"/>
        <v/>
      </c>
      <c r="M55" s="31"/>
      <c r="N55" s="78" t="str">
        <f t="shared" si="31"/>
        <v/>
      </c>
      <c r="O55" s="69" t="str">
        <f t="shared" si="32"/>
        <v/>
      </c>
      <c r="P55" s="31"/>
      <c r="Q55" s="78" t="str">
        <f t="shared" si="33"/>
        <v/>
      </c>
      <c r="R55" s="69" t="str">
        <f t="shared" si="34"/>
        <v/>
      </c>
      <c r="S55" s="31"/>
      <c r="T55" s="78" t="str">
        <f t="shared" si="35"/>
        <v/>
      </c>
      <c r="U55" s="69" t="str">
        <f t="shared" si="36"/>
        <v/>
      </c>
      <c r="V55" s="31"/>
      <c r="W55" s="78" t="str">
        <f t="shared" si="37"/>
        <v/>
      </c>
      <c r="X55" s="69" t="str">
        <f t="shared" si="38"/>
        <v/>
      </c>
      <c r="Y55" s="31"/>
      <c r="Z55" s="78" t="str">
        <f t="shared" si="39"/>
        <v/>
      </c>
      <c r="AA55" s="69" t="str">
        <f t="shared" si="40"/>
        <v/>
      </c>
      <c r="AB55" s="31"/>
      <c r="AC55" s="78" t="str">
        <f t="shared" si="41"/>
        <v/>
      </c>
      <c r="AD55" s="69" t="str">
        <f t="shared" si="42"/>
        <v/>
      </c>
      <c r="AE55" s="31"/>
      <c r="AF55" s="78" t="str">
        <f t="shared" si="43"/>
        <v/>
      </c>
      <c r="AG55" s="69" t="str">
        <f t="shared" si="44"/>
        <v/>
      </c>
      <c r="AH55" s="31"/>
      <c r="AI55" s="78" t="str">
        <f t="shared" si="45"/>
        <v/>
      </c>
      <c r="AJ55" s="69" t="str">
        <f t="shared" si="46"/>
        <v/>
      </c>
      <c r="AK5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5" s="78" t="str">
        <f t="shared" si="47"/>
        <v/>
      </c>
      <c r="AM5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6" spans="1:39" outlineLevel="1" x14ac:dyDescent="0.25">
      <c r="A56" s="30" t="s">
        <v>190</v>
      </c>
      <c r="B56" s="31"/>
      <c r="C56" s="78" t="str">
        <f t="shared" si="24"/>
        <v/>
      </c>
      <c r="D56" s="31"/>
      <c r="E56" s="78" t="str">
        <f t="shared" si="25"/>
        <v/>
      </c>
      <c r="F56" s="69" t="str">
        <f t="shared" si="26"/>
        <v/>
      </c>
      <c r="G56" s="31"/>
      <c r="H56" s="78" t="str">
        <f t="shared" si="27"/>
        <v/>
      </c>
      <c r="I56" s="69" t="str">
        <f t="shared" si="28"/>
        <v/>
      </c>
      <c r="J56" s="31"/>
      <c r="K56" s="78" t="str">
        <f t="shared" si="29"/>
        <v/>
      </c>
      <c r="L56" s="69" t="str">
        <f t="shared" si="30"/>
        <v/>
      </c>
      <c r="M56" s="31"/>
      <c r="N56" s="78" t="str">
        <f t="shared" si="31"/>
        <v/>
      </c>
      <c r="O56" s="69" t="str">
        <f t="shared" si="32"/>
        <v/>
      </c>
      <c r="P56" s="31"/>
      <c r="Q56" s="78" t="str">
        <f t="shared" si="33"/>
        <v/>
      </c>
      <c r="R56" s="69" t="str">
        <f t="shared" si="34"/>
        <v/>
      </c>
      <c r="S56" s="31"/>
      <c r="T56" s="78" t="str">
        <f t="shared" si="35"/>
        <v/>
      </c>
      <c r="U56" s="69" t="str">
        <f t="shared" si="36"/>
        <v/>
      </c>
      <c r="V56" s="31"/>
      <c r="W56" s="78" t="str">
        <f t="shared" si="37"/>
        <v/>
      </c>
      <c r="X56" s="69" t="str">
        <f t="shared" si="38"/>
        <v/>
      </c>
      <c r="Y56" s="31"/>
      <c r="Z56" s="78" t="str">
        <f t="shared" si="39"/>
        <v/>
      </c>
      <c r="AA56" s="69" t="str">
        <f t="shared" si="40"/>
        <v/>
      </c>
      <c r="AB56" s="31"/>
      <c r="AC56" s="78" t="str">
        <f t="shared" si="41"/>
        <v/>
      </c>
      <c r="AD56" s="69" t="str">
        <f t="shared" si="42"/>
        <v/>
      </c>
      <c r="AE56" s="31"/>
      <c r="AF56" s="78" t="str">
        <f t="shared" si="43"/>
        <v/>
      </c>
      <c r="AG56" s="69" t="str">
        <f t="shared" si="44"/>
        <v/>
      </c>
      <c r="AH56" s="31"/>
      <c r="AI56" s="78" t="str">
        <f t="shared" si="45"/>
        <v/>
      </c>
      <c r="AJ56" s="69" t="str">
        <f t="shared" si="46"/>
        <v/>
      </c>
      <c r="AK56" s="70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6" s="78" t="str">
        <f t="shared" si="47"/>
        <v/>
      </c>
      <c r="AM5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7" spans="1:39" outlineLevel="1" x14ac:dyDescent="0.25">
      <c r="A57" s="30" t="s">
        <v>191</v>
      </c>
      <c r="B57" s="31"/>
      <c r="C57" s="78" t="str">
        <f t="shared" si="24"/>
        <v/>
      </c>
      <c r="D57" s="31"/>
      <c r="E57" s="78" t="str">
        <f t="shared" si="25"/>
        <v/>
      </c>
      <c r="F57" s="69" t="str">
        <f t="shared" si="26"/>
        <v/>
      </c>
      <c r="G57" s="31"/>
      <c r="H57" s="78" t="str">
        <f t="shared" si="27"/>
        <v/>
      </c>
      <c r="I57" s="69" t="str">
        <f t="shared" si="28"/>
        <v/>
      </c>
      <c r="J57" s="31"/>
      <c r="K57" s="78" t="str">
        <f t="shared" si="29"/>
        <v/>
      </c>
      <c r="L57" s="69" t="str">
        <f t="shared" si="30"/>
        <v/>
      </c>
      <c r="M57" s="31"/>
      <c r="N57" s="78" t="str">
        <f t="shared" si="31"/>
        <v/>
      </c>
      <c r="O57" s="69" t="str">
        <f t="shared" si="32"/>
        <v/>
      </c>
      <c r="P57" s="31"/>
      <c r="Q57" s="78" t="str">
        <f t="shared" si="33"/>
        <v/>
      </c>
      <c r="R57" s="69" t="str">
        <f t="shared" si="34"/>
        <v/>
      </c>
      <c r="S57" s="31"/>
      <c r="T57" s="78" t="str">
        <f t="shared" si="35"/>
        <v/>
      </c>
      <c r="U57" s="69" t="str">
        <f t="shared" si="36"/>
        <v/>
      </c>
      <c r="V57" s="31"/>
      <c r="W57" s="78" t="str">
        <f t="shared" si="37"/>
        <v/>
      </c>
      <c r="X57" s="69" t="str">
        <f t="shared" si="38"/>
        <v/>
      </c>
      <c r="Y57" s="31"/>
      <c r="Z57" s="78" t="str">
        <f t="shared" si="39"/>
        <v/>
      </c>
      <c r="AA57" s="69" t="str">
        <f t="shared" si="40"/>
        <v/>
      </c>
      <c r="AB57" s="31"/>
      <c r="AC57" s="78" t="str">
        <f t="shared" si="41"/>
        <v/>
      </c>
      <c r="AD57" s="69" t="str">
        <f t="shared" si="42"/>
        <v/>
      </c>
      <c r="AE57" s="31"/>
      <c r="AF57" s="78" t="str">
        <f t="shared" si="43"/>
        <v/>
      </c>
      <c r="AG57" s="69" t="str">
        <f t="shared" si="44"/>
        <v/>
      </c>
      <c r="AH57" s="31"/>
      <c r="AI57" s="78" t="str">
        <f t="shared" si="45"/>
        <v/>
      </c>
      <c r="AJ57" s="69" t="str">
        <f t="shared" si="46"/>
        <v/>
      </c>
      <c r="AK5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7" s="78" t="str">
        <f t="shared" si="47"/>
        <v/>
      </c>
      <c r="AM5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8" spans="1:39" outlineLevel="1" x14ac:dyDescent="0.25">
      <c r="A58" s="30" t="s">
        <v>192</v>
      </c>
      <c r="B58" s="31"/>
      <c r="C58" s="78" t="str">
        <f t="shared" si="24"/>
        <v/>
      </c>
      <c r="D58" s="31"/>
      <c r="E58" s="78" t="str">
        <f t="shared" si="25"/>
        <v/>
      </c>
      <c r="F58" s="69" t="str">
        <f t="shared" si="26"/>
        <v/>
      </c>
      <c r="G58" s="31"/>
      <c r="H58" s="78" t="str">
        <f t="shared" si="27"/>
        <v/>
      </c>
      <c r="I58" s="69" t="str">
        <f t="shared" si="28"/>
        <v/>
      </c>
      <c r="J58" s="31"/>
      <c r="K58" s="78" t="str">
        <f t="shared" si="29"/>
        <v/>
      </c>
      <c r="L58" s="69" t="str">
        <f t="shared" si="30"/>
        <v/>
      </c>
      <c r="M58" s="31"/>
      <c r="N58" s="78" t="str">
        <f t="shared" si="31"/>
        <v/>
      </c>
      <c r="O58" s="69" t="str">
        <f t="shared" si="32"/>
        <v/>
      </c>
      <c r="P58" s="31"/>
      <c r="Q58" s="78" t="str">
        <f t="shared" si="33"/>
        <v/>
      </c>
      <c r="R58" s="69" t="str">
        <f t="shared" si="34"/>
        <v/>
      </c>
      <c r="S58" s="31"/>
      <c r="T58" s="78" t="str">
        <f t="shared" si="35"/>
        <v/>
      </c>
      <c r="U58" s="69" t="str">
        <f t="shared" si="36"/>
        <v/>
      </c>
      <c r="V58" s="31"/>
      <c r="W58" s="78" t="str">
        <f t="shared" si="37"/>
        <v/>
      </c>
      <c r="X58" s="69" t="str">
        <f t="shared" si="38"/>
        <v/>
      </c>
      <c r="Y58" s="31"/>
      <c r="Z58" s="78" t="str">
        <f t="shared" si="39"/>
        <v/>
      </c>
      <c r="AA58" s="69" t="str">
        <f t="shared" si="40"/>
        <v/>
      </c>
      <c r="AB58" s="31"/>
      <c r="AC58" s="78" t="str">
        <f t="shared" si="41"/>
        <v/>
      </c>
      <c r="AD58" s="69" t="str">
        <f t="shared" si="42"/>
        <v/>
      </c>
      <c r="AE58" s="31"/>
      <c r="AF58" s="78" t="str">
        <f t="shared" si="43"/>
        <v/>
      </c>
      <c r="AG58" s="69" t="str">
        <f t="shared" si="44"/>
        <v/>
      </c>
      <c r="AH58" s="31"/>
      <c r="AI58" s="78" t="str">
        <f t="shared" si="45"/>
        <v/>
      </c>
      <c r="AJ58" s="69" t="str">
        <f t="shared" si="46"/>
        <v/>
      </c>
      <c r="AK5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8" s="78" t="str">
        <f t="shared" si="47"/>
        <v/>
      </c>
      <c r="AM5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59" spans="1:39" outlineLevel="1" x14ac:dyDescent="0.25">
      <c r="A59" s="30"/>
      <c r="B59" s="31"/>
      <c r="C59" s="78" t="str">
        <f t="shared" si="24"/>
        <v/>
      </c>
      <c r="D59" s="31"/>
      <c r="E59" s="78" t="str">
        <f t="shared" si="25"/>
        <v/>
      </c>
      <c r="F59" s="69" t="str">
        <f t="shared" si="26"/>
        <v/>
      </c>
      <c r="G59" s="31"/>
      <c r="H59" s="78" t="str">
        <f t="shared" si="27"/>
        <v/>
      </c>
      <c r="I59" s="69" t="str">
        <f t="shared" si="28"/>
        <v/>
      </c>
      <c r="J59" s="31"/>
      <c r="K59" s="78" t="str">
        <f t="shared" si="29"/>
        <v/>
      </c>
      <c r="L59" s="69" t="str">
        <f t="shared" si="30"/>
        <v/>
      </c>
      <c r="M59" s="31"/>
      <c r="N59" s="78" t="str">
        <f t="shared" si="31"/>
        <v/>
      </c>
      <c r="O59" s="69" t="str">
        <f t="shared" si="32"/>
        <v/>
      </c>
      <c r="P59" s="31"/>
      <c r="Q59" s="78" t="str">
        <f t="shared" si="33"/>
        <v/>
      </c>
      <c r="R59" s="69" t="str">
        <f t="shared" si="34"/>
        <v/>
      </c>
      <c r="S59" s="31"/>
      <c r="T59" s="78" t="str">
        <f t="shared" si="35"/>
        <v/>
      </c>
      <c r="U59" s="69" t="str">
        <f t="shared" si="36"/>
        <v/>
      </c>
      <c r="V59" s="31"/>
      <c r="W59" s="78" t="str">
        <f t="shared" si="37"/>
        <v/>
      </c>
      <c r="X59" s="69" t="str">
        <f t="shared" si="38"/>
        <v/>
      </c>
      <c r="Y59" s="31"/>
      <c r="Z59" s="78" t="str">
        <f t="shared" si="39"/>
        <v/>
      </c>
      <c r="AA59" s="69" t="str">
        <f t="shared" si="40"/>
        <v/>
      </c>
      <c r="AB59" s="31"/>
      <c r="AC59" s="78" t="str">
        <f t="shared" si="41"/>
        <v/>
      </c>
      <c r="AD59" s="69" t="str">
        <f t="shared" si="42"/>
        <v/>
      </c>
      <c r="AE59" s="31"/>
      <c r="AF59" s="78" t="str">
        <f t="shared" si="43"/>
        <v/>
      </c>
      <c r="AG59" s="69" t="str">
        <f t="shared" si="44"/>
        <v/>
      </c>
      <c r="AH59" s="31"/>
      <c r="AI59" s="78" t="str">
        <f t="shared" si="45"/>
        <v/>
      </c>
      <c r="AJ59" s="69" t="str">
        <f t="shared" si="46"/>
        <v/>
      </c>
      <c r="AK5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59" s="78" t="str">
        <f t="shared" si="47"/>
        <v/>
      </c>
      <c r="AM5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0" spans="1:39" outlineLevel="1" x14ac:dyDescent="0.25">
      <c r="A60" s="71" t="s">
        <v>193</v>
      </c>
      <c r="B60" s="29">
        <f>SUM(B61:B69)</f>
        <v>0</v>
      </c>
      <c r="C60" s="77" t="str">
        <f t="shared" si="24"/>
        <v/>
      </c>
      <c r="D60" s="29">
        <f>SUM(D61:D69)</f>
        <v>0</v>
      </c>
      <c r="E60" s="77" t="str">
        <f t="shared" si="25"/>
        <v/>
      </c>
      <c r="F60" s="69" t="str">
        <f t="shared" si="26"/>
        <v/>
      </c>
      <c r="G60" s="29">
        <f>SUM(G61:G69)</f>
        <v>0</v>
      </c>
      <c r="H60" s="77" t="str">
        <f t="shared" si="27"/>
        <v/>
      </c>
      <c r="I60" s="69" t="str">
        <f t="shared" si="28"/>
        <v/>
      </c>
      <c r="J60" s="29">
        <f>SUM(J61:J69)</f>
        <v>0</v>
      </c>
      <c r="K60" s="77" t="str">
        <f t="shared" si="29"/>
        <v/>
      </c>
      <c r="L60" s="69" t="str">
        <f t="shared" si="30"/>
        <v/>
      </c>
      <c r="M60" s="29">
        <f>SUM(M61:M69)</f>
        <v>0</v>
      </c>
      <c r="N60" s="77" t="str">
        <f t="shared" si="31"/>
        <v/>
      </c>
      <c r="O60" s="69" t="str">
        <f t="shared" si="32"/>
        <v/>
      </c>
      <c r="P60" s="29">
        <f>SUM(P61:P69)</f>
        <v>0</v>
      </c>
      <c r="Q60" s="77" t="str">
        <f t="shared" si="33"/>
        <v/>
      </c>
      <c r="R60" s="69" t="str">
        <f t="shared" si="34"/>
        <v/>
      </c>
      <c r="S60" s="29">
        <f>SUM(S61:S69)</f>
        <v>0</v>
      </c>
      <c r="T60" s="77" t="str">
        <f t="shared" si="35"/>
        <v/>
      </c>
      <c r="U60" s="69" t="str">
        <f t="shared" si="36"/>
        <v/>
      </c>
      <c r="V60" s="29">
        <f>SUM(V61:V69)</f>
        <v>0</v>
      </c>
      <c r="W60" s="77" t="str">
        <f t="shared" si="37"/>
        <v/>
      </c>
      <c r="X60" s="69" t="str">
        <f t="shared" si="38"/>
        <v/>
      </c>
      <c r="Y60" s="29">
        <f>SUM(Y61:Y69)</f>
        <v>0</v>
      </c>
      <c r="Z60" s="77" t="str">
        <f t="shared" si="39"/>
        <v/>
      </c>
      <c r="AA60" s="69" t="str">
        <f t="shared" si="40"/>
        <v/>
      </c>
      <c r="AB60" s="29">
        <f>SUM(AB61:AB69)</f>
        <v>0</v>
      </c>
      <c r="AC60" s="77" t="str">
        <f t="shared" si="41"/>
        <v/>
      </c>
      <c r="AD60" s="69" t="str">
        <f t="shared" si="42"/>
        <v/>
      </c>
      <c r="AE60" s="29">
        <f>SUM(AE61:AE69)</f>
        <v>0</v>
      </c>
      <c r="AF60" s="77" t="str">
        <f t="shared" si="43"/>
        <v/>
      </c>
      <c r="AG60" s="69" t="str">
        <f t="shared" si="44"/>
        <v/>
      </c>
      <c r="AH60" s="29">
        <f>SUM(AH61:AH69)</f>
        <v>0</v>
      </c>
      <c r="AI60" s="77" t="str">
        <f t="shared" si="45"/>
        <v/>
      </c>
      <c r="AJ60" s="69" t="str">
        <f t="shared" si="46"/>
        <v/>
      </c>
      <c r="AK60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0" s="77" t="str">
        <f t="shared" si="47"/>
        <v/>
      </c>
      <c r="AM60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61" spans="1:39" outlineLevel="1" x14ac:dyDescent="0.25">
      <c r="A61" s="72" t="s">
        <v>194</v>
      </c>
      <c r="B61" s="31"/>
      <c r="C61" s="78" t="str">
        <f t="shared" si="24"/>
        <v/>
      </c>
      <c r="D61" s="31"/>
      <c r="E61" s="78" t="str">
        <f t="shared" si="25"/>
        <v/>
      </c>
      <c r="F61" s="69" t="str">
        <f t="shared" si="26"/>
        <v/>
      </c>
      <c r="G61" s="31"/>
      <c r="H61" s="78" t="str">
        <f t="shared" si="27"/>
        <v/>
      </c>
      <c r="I61" s="69" t="str">
        <f t="shared" si="28"/>
        <v/>
      </c>
      <c r="J61" s="31"/>
      <c r="K61" s="78" t="str">
        <f t="shared" si="29"/>
        <v/>
      </c>
      <c r="L61" s="69" t="str">
        <f t="shared" si="30"/>
        <v/>
      </c>
      <c r="M61" s="31"/>
      <c r="N61" s="78" t="str">
        <f t="shared" si="31"/>
        <v/>
      </c>
      <c r="O61" s="69" t="str">
        <f t="shared" si="32"/>
        <v/>
      </c>
      <c r="P61" s="31"/>
      <c r="Q61" s="78" t="str">
        <f t="shared" si="33"/>
        <v/>
      </c>
      <c r="R61" s="69" t="str">
        <f t="shared" si="34"/>
        <v/>
      </c>
      <c r="S61" s="31"/>
      <c r="T61" s="78" t="str">
        <f t="shared" si="35"/>
        <v/>
      </c>
      <c r="U61" s="69" t="str">
        <f t="shared" si="36"/>
        <v/>
      </c>
      <c r="V61" s="31"/>
      <c r="W61" s="78" t="str">
        <f t="shared" si="37"/>
        <v/>
      </c>
      <c r="X61" s="69" t="str">
        <f t="shared" si="38"/>
        <v/>
      </c>
      <c r="Y61" s="31"/>
      <c r="Z61" s="78" t="str">
        <f t="shared" si="39"/>
        <v/>
      </c>
      <c r="AA61" s="69" t="str">
        <f t="shared" si="40"/>
        <v/>
      </c>
      <c r="AB61" s="31"/>
      <c r="AC61" s="78" t="str">
        <f t="shared" si="41"/>
        <v/>
      </c>
      <c r="AD61" s="69" t="str">
        <f t="shared" si="42"/>
        <v/>
      </c>
      <c r="AE61" s="31"/>
      <c r="AF61" s="78" t="str">
        <f t="shared" si="43"/>
        <v/>
      </c>
      <c r="AG61" s="69" t="str">
        <f t="shared" si="44"/>
        <v/>
      </c>
      <c r="AH61" s="31"/>
      <c r="AI61" s="78" t="str">
        <f t="shared" si="45"/>
        <v/>
      </c>
      <c r="AJ61" s="69" t="str">
        <f t="shared" si="46"/>
        <v/>
      </c>
      <c r="AK6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1" s="78" t="str">
        <f t="shared" si="47"/>
        <v/>
      </c>
      <c r="AM6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2" spans="1:39" outlineLevel="1" x14ac:dyDescent="0.25">
      <c r="A62" s="72" t="s">
        <v>195</v>
      </c>
      <c r="B62" s="31"/>
      <c r="C62" s="78" t="str">
        <f t="shared" si="24"/>
        <v/>
      </c>
      <c r="D62" s="31"/>
      <c r="E62" s="78" t="str">
        <f t="shared" si="25"/>
        <v/>
      </c>
      <c r="F62" s="69" t="str">
        <f t="shared" si="26"/>
        <v/>
      </c>
      <c r="G62" s="31"/>
      <c r="H62" s="78" t="str">
        <f t="shared" si="27"/>
        <v/>
      </c>
      <c r="I62" s="69" t="str">
        <f t="shared" si="28"/>
        <v/>
      </c>
      <c r="J62" s="31"/>
      <c r="K62" s="78" t="str">
        <f t="shared" si="29"/>
        <v/>
      </c>
      <c r="L62" s="69" t="str">
        <f t="shared" si="30"/>
        <v/>
      </c>
      <c r="M62" s="31"/>
      <c r="N62" s="78" t="str">
        <f t="shared" si="31"/>
        <v/>
      </c>
      <c r="O62" s="69" t="str">
        <f t="shared" si="32"/>
        <v/>
      </c>
      <c r="P62" s="31"/>
      <c r="Q62" s="78" t="str">
        <f t="shared" si="33"/>
        <v/>
      </c>
      <c r="R62" s="69" t="str">
        <f t="shared" si="34"/>
        <v/>
      </c>
      <c r="S62" s="31"/>
      <c r="T62" s="78" t="str">
        <f t="shared" si="35"/>
        <v/>
      </c>
      <c r="U62" s="69" t="str">
        <f t="shared" si="36"/>
        <v/>
      </c>
      <c r="V62" s="31"/>
      <c r="W62" s="78" t="str">
        <f t="shared" si="37"/>
        <v/>
      </c>
      <c r="X62" s="69" t="str">
        <f t="shared" si="38"/>
        <v/>
      </c>
      <c r="Y62" s="31"/>
      <c r="Z62" s="78" t="str">
        <f t="shared" si="39"/>
        <v/>
      </c>
      <c r="AA62" s="69" t="str">
        <f t="shared" si="40"/>
        <v/>
      </c>
      <c r="AB62" s="31"/>
      <c r="AC62" s="78" t="str">
        <f t="shared" si="41"/>
        <v/>
      </c>
      <c r="AD62" s="69" t="str">
        <f t="shared" si="42"/>
        <v/>
      </c>
      <c r="AE62" s="31"/>
      <c r="AF62" s="78" t="str">
        <f t="shared" si="43"/>
        <v/>
      </c>
      <c r="AG62" s="69" t="str">
        <f t="shared" si="44"/>
        <v/>
      </c>
      <c r="AH62" s="31"/>
      <c r="AI62" s="78" t="str">
        <f t="shared" si="45"/>
        <v/>
      </c>
      <c r="AJ62" s="69" t="str">
        <f t="shared" si="46"/>
        <v/>
      </c>
      <c r="AK6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2" s="78" t="str">
        <f t="shared" si="47"/>
        <v/>
      </c>
      <c r="AM6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3" spans="1:39" outlineLevel="1" x14ac:dyDescent="0.25">
      <c r="A63" s="30"/>
      <c r="B63" s="31"/>
      <c r="C63" s="78" t="str">
        <f t="shared" si="24"/>
        <v/>
      </c>
      <c r="D63" s="31"/>
      <c r="E63" s="78" t="str">
        <f t="shared" si="25"/>
        <v/>
      </c>
      <c r="F63" s="69" t="str">
        <f t="shared" si="26"/>
        <v/>
      </c>
      <c r="G63" s="31"/>
      <c r="H63" s="78" t="str">
        <f t="shared" si="27"/>
        <v/>
      </c>
      <c r="I63" s="69" t="str">
        <f t="shared" si="28"/>
        <v/>
      </c>
      <c r="J63" s="31"/>
      <c r="K63" s="78" t="str">
        <f t="shared" si="29"/>
        <v/>
      </c>
      <c r="L63" s="69" t="str">
        <f t="shared" si="30"/>
        <v/>
      </c>
      <c r="M63" s="31"/>
      <c r="N63" s="78" t="str">
        <f t="shared" si="31"/>
        <v/>
      </c>
      <c r="O63" s="69" t="str">
        <f t="shared" si="32"/>
        <v/>
      </c>
      <c r="P63" s="31"/>
      <c r="Q63" s="78" t="str">
        <f t="shared" si="33"/>
        <v/>
      </c>
      <c r="R63" s="69" t="str">
        <f t="shared" si="34"/>
        <v/>
      </c>
      <c r="S63" s="31"/>
      <c r="T63" s="78" t="str">
        <f t="shared" si="35"/>
        <v/>
      </c>
      <c r="U63" s="69" t="str">
        <f t="shared" si="36"/>
        <v/>
      </c>
      <c r="V63" s="31"/>
      <c r="W63" s="78" t="str">
        <f t="shared" si="37"/>
        <v/>
      </c>
      <c r="X63" s="69" t="str">
        <f t="shared" si="38"/>
        <v/>
      </c>
      <c r="Y63" s="31"/>
      <c r="Z63" s="78" t="str">
        <f t="shared" si="39"/>
        <v/>
      </c>
      <c r="AA63" s="69" t="str">
        <f t="shared" si="40"/>
        <v/>
      </c>
      <c r="AB63" s="31"/>
      <c r="AC63" s="78" t="str">
        <f t="shared" si="41"/>
        <v/>
      </c>
      <c r="AD63" s="69" t="str">
        <f t="shared" si="42"/>
        <v/>
      </c>
      <c r="AE63" s="31"/>
      <c r="AF63" s="78" t="str">
        <f t="shared" si="43"/>
        <v/>
      </c>
      <c r="AG63" s="69" t="str">
        <f t="shared" si="44"/>
        <v/>
      </c>
      <c r="AH63" s="31"/>
      <c r="AI63" s="78" t="str">
        <f t="shared" si="45"/>
        <v/>
      </c>
      <c r="AJ63" s="69" t="str">
        <f t="shared" si="46"/>
        <v/>
      </c>
      <c r="AK6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3" s="78" t="str">
        <f t="shared" si="47"/>
        <v/>
      </c>
      <c r="AM6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4" spans="1:39" x14ac:dyDescent="0.25">
      <c r="A64" s="26" t="s">
        <v>196</v>
      </c>
      <c r="B64" s="27">
        <f>B65+B70+B75+B80</f>
        <v>0</v>
      </c>
      <c r="C64" s="76" t="str">
        <f t="shared" si="24"/>
        <v/>
      </c>
      <c r="D64" s="27">
        <f>D65+D70+D75+D80</f>
        <v>0</v>
      </c>
      <c r="E64" s="76" t="str">
        <f t="shared" si="25"/>
        <v/>
      </c>
      <c r="F64" s="69" t="str">
        <f t="shared" si="26"/>
        <v/>
      </c>
      <c r="G64" s="27">
        <f>G65+G70+G75+G80</f>
        <v>0</v>
      </c>
      <c r="H64" s="76" t="str">
        <f t="shared" si="27"/>
        <v/>
      </c>
      <c r="I64" s="69" t="str">
        <f t="shared" si="28"/>
        <v/>
      </c>
      <c r="J64" s="27">
        <f>J65+J70+J75+J80</f>
        <v>0</v>
      </c>
      <c r="K64" s="76" t="str">
        <f t="shared" si="29"/>
        <v/>
      </c>
      <c r="L64" s="69" t="str">
        <f t="shared" si="30"/>
        <v/>
      </c>
      <c r="M64" s="27">
        <f>M65+M70+M75+M80</f>
        <v>0</v>
      </c>
      <c r="N64" s="76" t="str">
        <f t="shared" si="31"/>
        <v/>
      </c>
      <c r="O64" s="69" t="str">
        <f t="shared" si="32"/>
        <v/>
      </c>
      <c r="P64" s="27">
        <f>P65+P70+P75+P80</f>
        <v>0</v>
      </c>
      <c r="Q64" s="76" t="str">
        <f t="shared" si="33"/>
        <v/>
      </c>
      <c r="R64" s="69" t="str">
        <f t="shared" si="34"/>
        <v/>
      </c>
      <c r="S64" s="27">
        <f>S65+S70+S75+S80</f>
        <v>0</v>
      </c>
      <c r="T64" s="76" t="str">
        <f t="shared" si="35"/>
        <v/>
      </c>
      <c r="U64" s="69" t="str">
        <f t="shared" si="36"/>
        <v/>
      </c>
      <c r="V64" s="27">
        <f>V65+V70+V75+V80</f>
        <v>0</v>
      </c>
      <c r="W64" s="76" t="str">
        <f t="shared" si="37"/>
        <v/>
      </c>
      <c r="X64" s="69" t="str">
        <f t="shared" si="38"/>
        <v/>
      </c>
      <c r="Y64" s="27">
        <f>Y65+Y70+Y75+Y80</f>
        <v>0</v>
      </c>
      <c r="Z64" s="76" t="str">
        <f t="shared" si="39"/>
        <v/>
      </c>
      <c r="AA64" s="69" t="str">
        <f t="shared" si="40"/>
        <v/>
      </c>
      <c r="AB64" s="27">
        <f>AB65+AB70+AB75+AB80</f>
        <v>0</v>
      </c>
      <c r="AC64" s="76" t="str">
        <f t="shared" si="41"/>
        <v/>
      </c>
      <c r="AD64" s="69" t="str">
        <f t="shared" si="42"/>
        <v/>
      </c>
      <c r="AE64" s="27">
        <f>AE65+AE70+AE75+AE80</f>
        <v>0</v>
      </c>
      <c r="AF64" s="76" t="str">
        <f t="shared" si="43"/>
        <v/>
      </c>
      <c r="AG64" s="69" t="str">
        <f t="shared" si="44"/>
        <v/>
      </c>
      <c r="AH64" s="27">
        <f>AH65+AH70+AH75+AH80</f>
        <v>0</v>
      </c>
      <c r="AI64" s="76" t="str">
        <f t="shared" si="45"/>
        <v/>
      </c>
      <c r="AJ64" s="69" t="str">
        <f t="shared" si="46"/>
        <v/>
      </c>
      <c r="AK64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4" s="76" t="str">
        <f t="shared" si="47"/>
        <v/>
      </c>
      <c r="AM64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65" spans="1:39" outlineLevel="1" x14ac:dyDescent="0.25">
      <c r="A65" s="28" t="s">
        <v>197</v>
      </c>
      <c r="B65" s="29">
        <f>SUM(B66:B69)</f>
        <v>0</v>
      </c>
      <c r="C65" s="77" t="str">
        <f t="shared" si="24"/>
        <v/>
      </c>
      <c r="D65" s="29">
        <f>SUM(D66:D69)</f>
        <v>0</v>
      </c>
      <c r="E65" s="77" t="str">
        <f t="shared" si="25"/>
        <v/>
      </c>
      <c r="F65" s="69" t="str">
        <f t="shared" si="26"/>
        <v/>
      </c>
      <c r="G65" s="29">
        <f>SUM(G66:G69)</f>
        <v>0</v>
      </c>
      <c r="H65" s="77" t="str">
        <f t="shared" si="27"/>
        <v/>
      </c>
      <c r="I65" s="69" t="str">
        <f t="shared" si="28"/>
        <v/>
      </c>
      <c r="J65" s="29">
        <f>SUM(J66:J69)</f>
        <v>0</v>
      </c>
      <c r="K65" s="77" t="str">
        <f t="shared" si="29"/>
        <v/>
      </c>
      <c r="L65" s="69" t="str">
        <f t="shared" si="30"/>
        <v/>
      </c>
      <c r="M65" s="29">
        <f>SUM(M66:M69)</f>
        <v>0</v>
      </c>
      <c r="N65" s="77" t="str">
        <f t="shared" si="31"/>
        <v/>
      </c>
      <c r="O65" s="69" t="str">
        <f t="shared" si="32"/>
        <v/>
      </c>
      <c r="P65" s="29">
        <f>SUM(P66:P69)</f>
        <v>0</v>
      </c>
      <c r="Q65" s="77" t="str">
        <f t="shared" si="33"/>
        <v/>
      </c>
      <c r="R65" s="69" t="str">
        <f t="shared" si="34"/>
        <v/>
      </c>
      <c r="S65" s="29">
        <f>SUM(S66:S69)</f>
        <v>0</v>
      </c>
      <c r="T65" s="77" t="str">
        <f t="shared" si="35"/>
        <v/>
      </c>
      <c r="U65" s="69" t="str">
        <f t="shared" si="36"/>
        <v/>
      </c>
      <c r="V65" s="29">
        <f>SUM(V66:V69)</f>
        <v>0</v>
      </c>
      <c r="W65" s="77" t="str">
        <f t="shared" si="37"/>
        <v/>
      </c>
      <c r="X65" s="69" t="str">
        <f t="shared" si="38"/>
        <v/>
      </c>
      <c r="Y65" s="29">
        <f>SUM(Y66:Y69)</f>
        <v>0</v>
      </c>
      <c r="Z65" s="77" t="str">
        <f t="shared" si="39"/>
        <v/>
      </c>
      <c r="AA65" s="69" t="str">
        <f t="shared" si="40"/>
        <v/>
      </c>
      <c r="AB65" s="29">
        <f>SUM(AB66:AB69)</f>
        <v>0</v>
      </c>
      <c r="AC65" s="77" t="str">
        <f t="shared" si="41"/>
        <v/>
      </c>
      <c r="AD65" s="69" t="str">
        <f t="shared" si="42"/>
        <v/>
      </c>
      <c r="AE65" s="29">
        <f>SUM(AE66:AE69)</f>
        <v>0</v>
      </c>
      <c r="AF65" s="77" t="str">
        <f t="shared" si="43"/>
        <v/>
      </c>
      <c r="AG65" s="69" t="str">
        <f t="shared" si="44"/>
        <v/>
      </c>
      <c r="AH65" s="29">
        <f>SUM(AH66:AH69)</f>
        <v>0</v>
      </c>
      <c r="AI65" s="77" t="str">
        <f t="shared" si="45"/>
        <v/>
      </c>
      <c r="AJ65" s="69" t="str">
        <f t="shared" si="46"/>
        <v/>
      </c>
      <c r="AK65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5" s="77" t="str">
        <f t="shared" si="47"/>
        <v/>
      </c>
      <c r="AM65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66" spans="1:39" outlineLevel="1" x14ac:dyDescent="0.25">
      <c r="A66" s="30" t="s">
        <v>198</v>
      </c>
      <c r="B66" s="31"/>
      <c r="C66" s="78" t="str">
        <f t="shared" si="24"/>
        <v/>
      </c>
      <c r="D66" s="31"/>
      <c r="E66" s="78" t="str">
        <f t="shared" si="25"/>
        <v/>
      </c>
      <c r="F66" s="69" t="str">
        <f t="shared" si="26"/>
        <v/>
      </c>
      <c r="G66" s="31"/>
      <c r="H66" s="78" t="str">
        <f t="shared" si="27"/>
        <v/>
      </c>
      <c r="I66" s="69" t="str">
        <f t="shared" si="28"/>
        <v/>
      </c>
      <c r="J66" s="31"/>
      <c r="K66" s="78" t="str">
        <f t="shared" si="29"/>
        <v/>
      </c>
      <c r="L66" s="69" t="str">
        <f t="shared" si="30"/>
        <v/>
      </c>
      <c r="M66" s="31"/>
      <c r="N66" s="78" t="str">
        <f t="shared" si="31"/>
        <v/>
      </c>
      <c r="O66" s="69" t="str">
        <f t="shared" si="32"/>
        <v/>
      </c>
      <c r="P66" s="31"/>
      <c r="Q66" s="78" t="str">
        <f t="shared" si="33"/>
        <v/>
      </c>
      <c r="R66" s="69" t="str">
        <f t="shared" si="34"/>
        <v/>
      </c>
      <c r="S66" s="31"/>
      <c r="T66" s="78" t="str">
        <f t="shared" si="35"/>
        <v/>
      </c>
      <c r="U66" s="69" t="str">
        <f t="shared" si="36"/>
        <v/>
      </c>
      <c r="V66" s="31"/>
      <c r="W66" s="78" t="str">
        <f t="shared" si="37"/>
        <v/>
      </c>
      <c r="X66" s="69" t="str">
        <f t="shared" si="38"/>
        <v/>
      </c>
      <c r="Y66" s="31"/>
      <c r="Z66" s="78" t="str">
        <f t="shared" si="39"/>
        <v/>
      </c>
      <c r="AA66" s="69" t="str">
        <f t="shared" si="40"/>
        <v/>
      </c>
      <c r="AB66" s="31"/>
      <c r="AC66" s="78" t="str">
        <f t="shared" si="41"/>
        <v/>
      </c>
      <c r="AD66" s="69" t="str">
        <f t="shared" si="42"/>
        <v/>
      </c>
      <c r="AE66" s="31"/>
      <c r="AF66" s="78" t="str">
        <f t="shared" si="43"/>
        <v/>
      </c>
      <c r="AG66" s="69" t="str">
        <f t="shared" si="44"/>
        <v/>
      </c>
      <c r="AH66" s="31"/>
      <c r="AI66" s="78" t="str">
        <f t="shared" si="45"/>
        <v/>
      </c>
      <c r="AJ66" s="69" t="str">
        <f t="shared" si="46"/>
        <v/>
      </c>
      <c r="AK6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6" s="78" t="str">
        <f t="shared" si="47"/>
        <v/>
      </c>
      <c r="AM6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7" spans="1:39" outlineLevel="1" x14ac:dyDescent="0.25">
      <c r="A67" s="30" t="s">
        <v>199</v>
      </c>
      <c r="B67" s="31"/>
      <c r="C67" s="78" t="str">
        <f t="shared" ref="C67:C98" si="48">IFERROR(B67/$B$3,"")</f>
        <v/>
      </c>
      <c r="D67" s="31"/>
      <c r="E67" s="78" t="str">
        <f t="shared" ref="E67:E98" si="49">IFERROR(D67/$D$3,"")</f>
        <v/>
      </c>
      <c r="F67" s="69" t="str">
        <f t="shared" ref="F67:F98" si="50">IFERROR((D67-B67)/B67,"")</f>
        <v/>
      </c>
      <c r="G67" s="31"/>
      <c r="H67" s="78" t="str">
        <f t="shared" ref="H67:H98" si="51">IFERROR(G67/$G$3,"")</f>
        <v/>
      </c>
      <c r="I67" s="69" t="str">
        <f t="shared" ref="I67:I98" si="52">IFERROR((G67-D67)/D67,"")</f>
        <v/>
      </c>
      <c r="J67" s="31"/>
      <c r="K67" s="78" t="str">
        <f t="shared" ref="K67:K98" si="53">IFERROR(J67/$J$3,"")</f>
        <v/>
      </c>
      <c r="L67" s="69" t="str">
        <f t="shared" ref="L67:L98" si="54">IFERROR((J67-G67)/G67,"")</f>
        <v/>
      </c>
      <c r="M67" s="31"/>
      <c r="N67" s="78" t="str">
        <f t="shared" ref="N67:N98" si="55">IFERROR(M67/$M$3,"")</f>
        <v/>
      </c>
      <c r="O67" s="69" t="str">
        <f t="shared" ref="O67:O98" si="56">IFERROR((M67-J67)/J67,"")</f>
        <v/>
      </c>
      <c r="P67" s="31"/>
      <c r="Q67" s="78" t="str">
        <f t="shared" ref="Q67:Q98" si="57">IFERROR(P67/$P$3,"")</f>
        <v/>
      </c>
      <c r="R67" s="69" t="str">
        <f t="shared" ref="R67:R98" si="58">IFERROR((P67-M67)/M67,"")</f>
        <v/>
      </c>
      <c r="S67" s="31"/>
      <c r="T67" s="78" t="str">
        <f t="shared" ref="T67:T98" si="59">IFERROR(S67/$S$3,"")</f>
        <v/>
      </c>
      <c r="U67" s="69" t="str">
        <f t="shared" ref="U67:U98" si="60">IFERROR((S67-P67)/P67,"")</f>
        <v/>
      </c>
      <c r="V67" s="31"/>
      <c r="W67" s="78" t="str">
        <f t="shared" ref="W67:W98" si="61">IFERROR(V67/$V$3,"")</f>
        <v/>
      </c>
      <c r="X67" s="69" t="str">
        <f t="shared" ref="X67:X98" si="62">IFERROR((V67-S67)/S67,"")</f>
        <v/>
      </c>
      <c r="Y67" s="31"/>
      <c r="Z67" s="78" t="str">
        <f t="shared" ref="Z67:Z98" si="63">IFERROR(Y67/$Y$3,"")</f>
        <v/>
      </c>
      <c r="AA67" s="69" t="str">
        <f t="shared" ref="AA67:AA98" si="64">IFERROR((Y67-V67)/V67,"")</f>
        <v/>
      </c>
      <c r="AB67" s="31"/>
      <c r="AC67" s="78" t="str">
        <f t="shared" ref="AC67:AC98" si="65">IFERROR(AB67/$AB$3,"")</f>
        <v/>
      </c>
      <c r="AD67" s="69" t="str">
        <f t="shared" ref="AD67:AD98" si="66">IFERROR((AB67-Y67)/Y67,"")</f>
        <v/>
      </c>
      <c r="AE67" s="31"/>
      <c r="AF67" s="78" t="str">
        <f t="shared" ref="AF67:AF98" si="67">IFERROR(AE67/$AE$3,"")</f>
        <v/>
      </c>
      <c r="AG67" s="69" t="str">
        <f t="shared" ref="AG67:AG98" si="68">IFERROR((AE67-AB67)/AB67,"")</f>
        <v/>
      </c>
      <c r="AH67" s="31"/>
      <c r="AI67" s="78" t="str">
        <f t="shared" ref="AI67:AI98" si="69">IFERROR(AH67/$AH$3,"")</f>
        <v/>
      </c>
      <c r="AJ67" s="69" t="str">
        <f t="shared" ref="AJ67:AJ98" si="70">IFERROR((AH67-AE67)/AE67,"")</f>
        <v/>
      </c>
      <c r="AK6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7" s="78" t="str">
        <f t="shared" ref="AL67:AL98" si="71">IFERROR(AK67/$AK$3,"")</f>
        <v/>
      </c>
      <c r="AM6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8" spans="1:39" outlineLevel="1" x14ac:dyDescent="0.25">
      <c r="A68" s="30" t="s">
        <v>200</v>
      </c>
      <c r="B68" s="31"/>
      <c r="C68" s="78" t="str">
        <f t="shared" si="48"/>
        <v/>
      </c>
      <c r="D68" s="31"/>
      <c r="E68" s="78" t="str">
        <f t="shared" si="49"/>
        <v/>
      </c>
      <c r="F68" s="69" t="str">
        <f t="shared" si="50"/>
        <v/>
      </c>
      <c r="G68" s="31"/>
      <c r="H68" s="78" t="str">
        <f t="shared" si="51"/>
        <v/>
      </c>
      <c r="I68" s="69" t="str">
        <f t="shared" si="52"/>
        <v/>
      </c>
      <c r="J68" s="31"/>
      <c r="K68" s="78" t="str">
        <f t="shared" si="53"/>
        <v/>
      </c>
      <c r="L68" s="69" t="str">
        <f t="shared" si="54"/>
        <v/>
      </c>
      <c r="M68" s="31"/>
      <c r="N68" s="78" t="str">
        <f t="shared" si="55"/>
        <v/>
      </c>
      <c r="O68" s="69" t="str">
        <f t="shared" si="56"/>
        <v/>
      </c>
      <c r="P68" s="31"/>
      <c r="Q68" s="78" t="str">
        <f t="shared" si="57"/>
        <v/>
      </c>
      <c r="R68" s="69" t="str">
        <f t="shared" si="58"/>
        <v/>
      </c>
      <c r="S68" s="31"/>
      <c r="T68" s="78" t="str">
        <f t="shared" si="59"/>
        <v/>
      </c>
      <c r="U68" s="69" t="str">
        <f t="shared" si="60"/>
        <v/>
      </c>
      <c r="V68" s="31"/>
      <c r="W68" s="78" t="str">
        <f t="shared" si="61"/>
        <v/>
      </c>
      <c r="X68" s="69" t="str">
        <f t="shared" si="62"/>
        <v/>
      </c>
      <c r="Y68" s="31"/>
      <c r="Z68" s="78" t="str">
        <f t="shared" si="63"/>
        <v/>
      </c>
      <c r="AA68" s="69" t="str">
        <f t="shared" si="64"/>
        <v/>
      </c>
      <c r="AB68" s="31"/>
      <c r="AC68" s="78" t="str">
        <f t="shared" si="65"/>
        <v/>
      </c>
      <c r="AD68" s="69" t="str">
        <f t="shared" si="66"/>
        <v/>
      </c>
      <c r="AE68" s="31"/>
      <c r="AF68" s="78" t="str">
        <f t="shared" si="67"/>
        <v/>
      </c>
      <c r="AG68" s="69" t="str">
        <f t="shared" si="68"/>
        <v/>
      </c>
      <c r="AH68" s="31"/>
      <c r="AI68" s="78" t="str">
        <f t="shared" si="69"/>
        <v/>
      </c>
      <c r="AJ68" s="69" t="str">
        <f t="shared" si="70"/>
        <v/>
      </c>
      <c r="AK6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8" s="78" t="str">
        <f t="shared" si="71"/>
        <v/>
      </c>
      <c r="AM6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69" spans="1:39" outlineLevel="1" x14ac:dyDescent="0.25">
      <c r="A69" s="30"/>
      <c r="B69" s="31"/>
      <c r="C69" s="78" t="str">
        <f t="shared" si="48"/>
        <v/>
      </c>
      <c r="D69" s="31"/>
      <c r="E69" s="78" t="str">
        <f t="shared" si="49"/>
        <v/>
      </c>
      <c r="F69" s="69" t="str">
        <f t="shared" si="50"/>
        <v/>
      </c>
      <c r="G69" s="31"/>
      <c r="H69" s="78" t="str">
        <f t="shared" si="51"/>
        <v/>
      </c>
      <c r="I69" s="69" t="str">
        <f t="shared" si="52"/>
        <v/>
      </c>
      <c r="J69" s="31"/>
      <c r="K69" s="78" t="str">
        <f t="shared" si="53"/>
        <v/>
      </c>
      <c r="L69" s="69" t="str">
        <f t="shared" si="54"/>
        <v/>
      </c>
      <c r="M69" s="31"/>
      <c r="N69" s="78" t="str">
        <f t="shared" si="55"/>
        <v/>
      </c>
      <c r="O69" s="69" t="str">
        <f t="shared" si="56"/>
        <v/>
      </c>
      <c r="P69" s="31"/>
      <c r="Q69" s="78" t="str">
        <f t="shared" si="57"/>
        <v/>
      </c>
      <c r="R69" s="69" t="str">
        <f t="shared" si="58"/>
        <v/>
      </c>
      <c r="S69" s="31"/>
      <c r="T69" s="78" t="str">
        <f t="shared" si="59"/>
        <v/>
      </c>
      <c r="U69" s="69" t="str">
        <f t="shared" si="60"/>
        <v/>
      </c>
      <c r="V69" s="31"/>
      <c r="W69" s="78" t="str">
        <f t="shared" si="61"/>
        <v/>
      </c>
      <c r="X69" s="69" t="str">
        <f t="shared" si="62"/>
        <v/>
      </c>
      <c r="Y69" s="31"/>
      <c r="Z69" s="78" t="str">
        <f t="shared" si="63"/>
        <v/>
      </c>
      <c r="AA69" s="69" t="str">
        <f t="shared" si="64"/>
        <v/>
      </c>
      <c r="AB69" s="31"/>
      <c r="AC69" s="78" t="str">
        <f t="shared" si="65"/>
        <v/>
      </c>
      <c r="AD69" s="69" t="str">
        <f t="shared" si="66"/>
        <v/>
      </c>
      <c r="AE69" s="31"/>
      <c r="AF69" s="78" t="str">
        <f t="shared" si="67"/>
        <v/>
      </c>
      <c r="AG69" s="69" t="str">
        <f t="shared" si="68"/>
        <v/>
      </c>
      <c r="AH69" s="31"/>
      <c r="AI69" s="78" t="str">
        <f t="shared" si="69"/>
        <v/>
      </c>
      <c r="AJ69" s="69" t="str">
        <f t="shared" si="70"/>
        <v/>
      </c>
      <c r="AK6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69" s="78" t="str">
        <f t="shared" si="71"/>
        <v/>
      </c>
      <c r="AM6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0" spans="1:39" outlineLevel="1" x14ac:dyDescent="0.25">
      <c r="A70" s="28" t="s">
        <v>201</v>
      </c>
      <c r="B70" s="29">
        <f>SUM(B71:B74)</f>
        <v>0</v>
      </c>
      <c r="C70" s="77" t="str">
        <f t="shared" si="48"/>
        <v/>
      </c>
      <c r="D70" s="29">
        <f>SUM(D71:D74)</f>
        <v>0</v>
      </c>
      <c r="E70" s="77" t="str">
        <f t="shared" si="49"/>
        <v/>
      </c>
      <c r="F70" s="69" t="str">
        <f t="shared" si="50"/>
        <v/>
      </c>
      <c r="G70" s="29">
        <f>SUM(G71:G74)</f>
        <v>0</v>
      </c>
      <c r="H70" s="77" t="str">
        <f t="shared" si="51"/>
        <v/>
      </c>
      <c r="I70" s="69" t="str">
        <f t="shared" si="52"/>
        <v/>
      </c>
      <c r="J70" s="29">
        <f>SUM(J71:J74)</f>
        <v>0</v>
      </c>
      <c r="K70" s="77" t="str">
        <f t="shared" si="53"/>
        <v/>
      </c>
      <c r="L70" s="69" t="str">
        <f t="shared" si="54"/>
        <v/>
      </c>
      <c r="M70" s="29">
        <f>SUM(M71:M74)</f>
        <v>0</v>
      </c>
      <c r="N70" s="77" t="str">
        <f t="shared" si="55"/>
        <v/>
      </c>
      <c r="O70" s="69" t="str">
        <f t="shared" si="56"/>
        <v/>
      </c>
      <c r="P70" s="29">
        <f>SUM(P71:P74)</f>
        <v>0</v>
      </c>
      <c r="Q70" s="77" t="str">
        <f t="shared" si="57"/>
        <v/>
      </c>
      <c r="R70" s="69" t="str">
        <f t="shared" si="58"/>
        <v/>
      </c>
      <c r="S70" s="29">
        <f>SUM(S71:S74)</f>
        <v>0</v>
      </c>
      <c r="T70" s="77" t="str">
        <f t="shared" si="59"/>
        <v/>
      </c>
      <c r="U70" s="69" t="str">
        <f t="shared" si="60"/>
        <v/>
      </c>
      <c r="V70" s="29">
        <f>SUM(V71:V74)</f>
        <v>0</v>
      </c>
      <c r="W70" s="77" t="str">
        <f t="shared" si="61"/>
        <v/>
      </c>
      <c r="X70" s="69" t="str">
        <f t="shared" si="62"/>
        <v/>
      </c>
      <c r="Y70" s="29">
        <f>SUM(Y71:Y74)</f>
        <v>0</v>
      </c>
      <c r="Z70" s="77" t="str">
        <f t="shared" si="63"/>
        <v/>
      </c>
      <c r="AA70" s="69" t="str">
        <f t="shared" si="64"/>
        <v/>
      </c>
      <c r="AB70" s="29">
        <f>SUM(AB71:AB74)</f>
        <v>0</v>
      </c>
      <c r="AC70" s="77" t="str">
        <f t="shared" si="65"/>
        <v/>
      </c>
      <c r="AD70" s="69" t="str">
        <f t="shared" si="66"/>
        <v/>
      </c>
      <c r="AE70" s="29">
        <f>SUM(AE71:AE74)</f>
        <v>0</v>
      </c>
      <c r="AF70" s="77" t="str">
        <f t="shared" si="67"/>
        <v/>
      </c>
      <c r="AG70" s="69" t="str">
        <f t="shared" si="68"/>
        <v/>
      </c>
      <c r="AH70" s="29">
        <f>SUM(AH71:AH74)</f>
        <v>0</v>
      </c>
      <c r="AI70" s="77" t="str">
        <f t="shared" si="69"/>
        <v/>
      </c>
      <c r="AJ70" s="69" t="str">
        <f t="shared" si="70"/>
        <v/>
      </c>
      <c r="AK70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0" s="77" t="str">
        <f t="shared" si="71"/>
        <v/>
      </c>
      <c r="AM70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71" spans="1:39" outlineLevel="1" x14ac:dyDescent="0.25">
      <c r="A71" s="30" t="s">
        <v>202</v>
      </c>
      <c r="B71" s="31"/>
      <c r="C71" s="78" t="str">
        <f t="shared" si="48"/>
        <v/>
      </c>
      <c r="D71" s="31"/>
      <c r="E71" s="78" t="str">
        <f t="shared" si="49"/>
        <v/>
      </c>
      <c r="F71" s="69" t="str">
        <f t="shared" si="50"/>
        <v/>
      </c>
      <c r="G71" s="31"/>
      <c r="H71" s="78" t="str">
        <f t="shared" si="51"/>
        <v/>
      </c>
      <c r="I71" s="69" t="str">
        <f t="shared" si="52"/>
        <v/>
      </c>
      <c r="J71" s="31"/>
      <c r="K71" s="78" t="str">
        <f t="shared" si="53"/>
        <v/>
      </c>
      <c r="L71" s="69" t="str">
        <f t="shared" si="54"/>
        <v/>
      </c>
      <c r="M71" s="31"/>
      <c r="N71" s="78" t="str">
        <f t="shared" si="55"/>
        <v/>
      </c>
      <c r="O71" s="69" t="str">
        <f t="shared" si="56"/>
        <v/>
      </c>
      <c r="P71" s="31"/>
      <c r="Q71" s="78" t="str">
        <f t="shared" si="57"/>
        <v/>
      </c>
      <c r="R71" s="69" t="str">
        <f t="shared" si="58"/>
        <v/>
      </c>
      <c r="S71" s="31"/>
      <c r="T71" s="78" t="str">
        <f t="shared" si="59"/>
        <v/>
      </c>
      <c r="U71" s="69" t="str">
        <f t="shared" si="60"/>
        <v/>
      </c>
      <c r="V71" s="31"/>
      <c r="W71" s="78" t="str">
        <f t="shared" si="61"/>
        <v/>
      </c>
      <c r="X71" s="69" t="str">
        <f t="shared" si="62"/>
        <v/>
      </c>
      <c r="Y71" s="31"/>
      <c r="Z71" s="78" t="str">
        <f t="shared" si="63"/>
        <v/>
      </c>
      <c r="AA71" s="69" t="str">
        <f t="shared" si="64"/>
        <v/>
      </c>
      <c r="AB71" s="31"/>
      <c r="AC71" s="78" t="str">
        <f t="shared" si="65"/>
        <v/>
      </c>
      <c r="AD71" s="69" t="str">
        <f t="shared" si="66"/>
        <v/>
      </c>
      <c r="AE71" s="31"/>
      <c r="AF71" s="78" t="str">
        <f t="shared" si="67"/>
        <v/>
      </c>
      <c r="AG71" s="69" t="str">
        <f t="shared" si="68"/>
        <v/>
      </c>
      <c r="AH71" s="31"/>
      <c r="AI71" s="78" t="str">
        <f t="shared" si="69"/>
        <v/>
      </c>
      <c r="AJ71" s="69" t="str">
        <f t="shared" si="70"/>
        <v/>
      </c>
      <c r="AK7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1" s="78" t="str">
        <f t="shared" si="71"/>
        <v/>
      </c>
      <c r="AM7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2" spans="1:39" outlineLevel="1" x14ac:dyDescent="0.25">
      <c r="A72" s="30" t="s">
        <v>203</v>
      </c>
      <c r="C72" s="78" t="str">
        <f t="shared" si="48"/>
        <v/>
      </c>
      <c r="E72" s="78" t="str">
        <f t="shared" si="49"/>
        <v/>
      </c>
      <c r="F72" s="69" t="str">
        <f t="shared" si="50"/>
        <v/>
      </c>
      <c r="H72" s="78" t="str">
        <f t="shared" si="51"/>
        <v/>
      </c>
      <c r="I72" s="69" t="str">
        <f t="shared" si="52"/>
        <v/>
      </c>
      <c r="K72" s="78" t="str">
        <f t="shared" si="53"/>
        <v/>
      </c>
      <c r="L72" s="69" t="str">
        <f t="shared" si="54"/>
        <v/>
      </c>
      <c r="N72" s="78" t="str">
        <f t="shared" si="55"/>
        <v/>
      </c>
      <c r="O72" s="69" t="str">
        <f t="shared" si="56"/>
        <v/>
      </c>
      <c r="Q72" s="78" t="str">
        <f t="shared" si="57"/>
        <v/>
      </c>
      <c r="R72" s="69" t="str">
        <f t="shared" si="58"/>
        <v/>
      </c>
      <c r="T72" s="78" t="str">
        <f t="shared" si="59"/>
        <v/>
      </c>
      <c r="U72" s="69" t="str">
        <f t="shared" si="60"/>
        <v/>
      </c>
      <c r="W72" s="78" t="str">
        <f t="shared" si="61"/>
        <v/>
      </c>
      <c r="X72" s="69" t="str">
        <f t="shared" si="62"/>
        <v/>
      </c>
      <c r="Z72" s="78" t="str">
        <f t="shared" si="63"/>
        <v/>
      </c>
      <c r="AA72" s="69" t="str">
        <f t="shared" si="64"/>
        <v/>
      </c>
      <c r="AC72" s="78" t="str">
        <f t="shared" si="65"/>
        <v/>
      </c>
      <c r="AD72" s="69" t="str">
        <f t="shared" si="66"/>
        <v/>
      </c>
      <c r="AF72" s="78" t="str">
        <f t="shared" si="67"/>
        <v/>
      </c>
      <c r="AG72" s="69" t="str">
        <f t="shared" si="68"/>
        <v/>
      </c>
      <c r="AI72" s="78" t="str">
        <f t="shared" si="69"/>
        <v/>
      </c>
      <c r="AJ72" s="69" t="str">
        <f t="shared" si="70"/>
        <v/>
      </c>
      <c r="AK7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2" s="78" t="str">
        <f t="shared" si="71"/>
        <v/>
      </c>
      <c r="AM7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3" spans="1:39" outlineLevel="1" x14ac:dyDescent="0.25">
      <c r="A73" s="30" t="s">
        <v>204</v>
      </c>
      <c r="B73" s="31"/>
      <c r="C73" s="78" t="str">
        <f t="shared" si="48"/>
        <v/>
      </c>
      <c r="D73" s="31"/>
      <c r="E73" s="78" t="str">
        <f t="shared" si="49"/>
        <v/>
      </c>
      <c r="F73" s="69" t="str">
        <f t="shared" si="50"/>
        <v/>
      </c>
      <c r="G73" s="31"/>
      <c r="H73" s="78" t="str">
        <f t="shared" si="51"/>
        <v/>
      </c>
      <c r="I73" s="69" t="str">
        <f t="shared" si="52"/>
        <v/>
      </c>
      <c r="J73" s="31"/>
      <c r="K73" s="78" t="str">
        <f t="shared" si="53"/>
        <v/>
      </c>
      <c r="L73" s="69" t="str">
        <f t="shared" si="54"/>
        <v/>
      </c>
      <c r="M73" s="31"/>
      <c r="N73" s="78" t="str">
        <f t="shared" si="55"/>
        <v/>
      </c>
      <c r="O73" s="69" t="str">
        <f t="shared" si="56"/>
        <v/>
      </c>
      <c r="P73" s="31"/>
      <c r="Q73" s="78" t="str">
        <f t="shared" si="57"/>
        <v/>
      </c>
      <c r="R73" s="69" t="str">
        <f t="shared" si="58"/>
        <v/>
      </c>
      <c r="S73" s="31"/>
      <c r="T73" s="78" t="str">
        <f t="shared" si="59"/>
        <v/>
      </c>
      <c r="U73" s="69" t="str">
        <f t="shared" si="60"/>
        <v/>
      </c>
      <c r="V73" s="31"/>
      <c r="W73" s="78" t="str">
        <f t="shared" si="61"/>
        <v/>
      </c>
      <c r="X73" s="69" t="str">
        <f t="shared" si="62"/>
        <v/>
      </c>
      <c r="Y73" s="31"/>
      <c r="Z73" s="78" t="str">
        <f t="shared" si="63"/>
        <v/>
      </c>
      <c r="AA73" s="69" t="str">
        <f t="shared" si="64"/>
        <v/>
      </c>
      <c r="AB73" s="31"/>
      <c r="AC73" s="78" t="str">
        <f t="shared" si="65"/>
        <v/>
      </c>
      <c r="AD73" s="69" t="str">
        <f t="shared" si="66"/>
        <v/>
      </c>
      <c r="AE73" s="31"/>
      <c r="AF73" s="78" t="str">
        <f t="shared" si="67"/>
        <v/>
      </c>
      <c r="AG73" s="69" t="str">
        <f t="shared" si="68"/>
        <v/>
      </c>
      <c r="AH73" s="31"/>
      <c r="AI73" s="78" t="str">
        <f t="shared" si="69"/>
        <v/>
      </c>
      <c r="AJ73" s="69" t="str">
        <f t="shared" si="70"/>
        <v/>
      </c>
      <c r="AK7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3" s="78" t="str">
        <f t="shared" si="71"/>
        <v/>
      </c>
      <c r="AM7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4" spans="1:39" outlineLevel="1" x14ac:dyDescent="0.25">
      <c r="A74" s="30"/>
      <c r="B74" s="31"/>
      <c r="C74" s="78" t="str">
        <f t="shared" si="48"/>
        <v/>
      </c>
      <c r="D74" s="31"/>
      <c r="E74" s="78" t="str">
        <f t="shared" si="49"/>
        <v/>
      </c>
      <c r="F74" s="69" t="str">
        <f t="shared" si="50"/>
        <v/>
      </c>
      <c r="G74" s="31"/>
      <c r="H74" s="78" t="str">
        <f t="shared" si="51"/>
        <v/>
      </c>
      <c r="I74" s="69" t="str">
        <f t="shared" si="52"/>
        <v/>
      </c>
      <c r="J74" s="31"/>
      <c r="K74" s="78" t="str">
        <f t="shared" si="53"/>
        <v/>
      </c>
      <c r="L74" s="69" t="str">
        <f t="shared" si="54"/>
        <v/>
      </c>
      <c r="M74" s="31"/>
      <c r="N74" s="78" t="str">
        <f t="shared" si="55"/>
        <v/>
      </c>
      <c r="O74" s="69" t="str">
        <f t="shared" si="56"/>
        <v/>
      </c>
      <c r="P74" s="31"/>
      <c r="Q74" s="78" t="str">
        <f t="shared" si="57"/>
        <v/>
      </c>
      <c r="R74" s="69" t="str">
        <f t="shared" si="58"/>
        <v/>
      </c>
      <c r="S74" s="31"/>
      <c r="T74" s="78" t="str">
        <f t="shared" si="59"/>
        <v/>
      </c>
      <c r="U74" s="69" t="str">
        <f t="shared" si="60"/>
        <v/>
      </c>
      <c r="V74" s="31"/>
      <c r="W74" s="78" t="str">
        <f t="shared" si="61"/>
        <v/>
      </c>
      <c r="X74" s="69" t="str">
        <f t="shared" si="62"/>
        <v/>
      </c>
      <c r="Y74" s="31"/>
      <c r="Z74" s="78" t="str">
        <f t="shared" si="63"/>
        <v/>
      </c>
      <c r="AA74" s="69" t="str">
        <f t="shared" si="64"/>
        <v/>
      </c>
      <c r="AB74" s="31"/>
      <c r="AC74" s="78" t="str">
        <f t="shared" si="65"/>
        <v/>
      </c>
      <c r="AD74" s="69" t="str">
        <f t="shared" si="66"/>
        <v/>
      </c>
      <c r="AE74" s="31"/>
      <c r="AF74" s="78" t="str">
        <f t="shared" si="67"/>
        <v/>
      </c>
      <c r="AG74" s="69" t="str">
        <f t="shared" si="68"/>
        <v/>
      </c>
      <c r="AH74" s="31"/>
      <c r="AI74" s="78" t="str">
        <f t="shared" si="69"/>
        <v/>
      </c>
      <c r="AJ74" s="69" t="str">
        <f t="shared" si="70"/>
        <v/>
      </c>
      <c r="AK7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4" s="78" t="str">
        <f t="shared" si="71"/>
        <v/>
      </c>
      <c r="AM7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5" spans="1:39" outlineLevel="1" x14ac:dyDescent="0.25">
      <c r="A75" s="28" t="s">
        <v>205</v>
      </c>
      <c r="B75" s="29">
        <f>SUM(B76:B79)</f>
        <v>0</v>
      </c>
      <c r="C75" s="77" t="str">
        <f t="shared" si="48"/>
        <v/>
      </c>
      <c r="D75" s="29">
        <f>SUM(D76:D79)</f>
        <v>0</v>
      </c>
      <c r="E75" s="77" t="str">
        <f t="shared" si="49"/>
        <v/>
      </c>
      <c r="F75" s="69" t="str">
        <f t="shared" si="50"/>
        <v/>
      </c>
      <c r="G75" s="29">
        <f>SUM(G76:G79)</f>
        <v>0</v>
      </c>
      <c r="H75" s="77" t="str">
        <f t="shared" si="51"/>
        <v/>
      </c>
      <c r="I75" s="69" t="str">
        <f t="shared" si="52"/>
        <v/>
      </c>
      <c r="J75" s="29">
        <f>SUM(J76:J79)</f>
        <v>0</v>
      </c>
      <c r="K75" s="77" t="str">
        <f t="shared" si="53"/>
        <v/>
      </c>
      <c r="L75" s="69" t="str">
        <f t="shared" si="54"/>
        <v/>
      </c>
      <c r="M75" s="29">
        <f>SUM(M76:M79)</f>
        <v>0</v>
      </c>
      <c r="N75" s="77" t="str">
        <f t="shared" si="55"/>
        <v/>
      </c>
      <c r="O75" s="69" t="str">
        <f t="shared" si="56"/>
        <v/>
      </c>
      <c r="P75" s="29">
        <f>SUM(P76:P79)</f>
        <v>0</v>
      </c>
      <c r="Q75" s="77" t="str">
        <f t="shared" si="57"/>
        <v/>
      </c>
      <c r="R75" s="69" t="str">
        <f t="shared" si="58"/>
        <v/>
      </c>
      <c r="S75" s="29">
        <f>SUM(S76:S79)</f>
        <v>0</v>
      </c>
      <c r="T75" s="77" t="str">
        <f t="shared" si="59"/>
        <v/>
      </c>
      <c r="U75" s="69" t="str">
        <f t="shared" si="60"/>
        <v/>
      </c>
      <c r="V75" s="29">
        <f>SUM(V76:V79)</f>
        <v>0</v>
      </c>
      <c r="W75" s="77" t="str">
        <f t="shared" si="61"/>
        <v/>
      </c>
      <c r="X75" s="69" t="str">
        <f t="shared" si="62"/>
        <v/>
      </c>
      <c r="Y75" s="29">
        <f>SUM(Y76:Y79)</f>
        <v>0</v>
      </c>
      <c r="Z75" s="77" t="str">
        <f t="shared" si="63"/>
        <v/>
      </c>
      <c r="AA75" s="69" t="str">
        <f t="shared" si="64"/>
        <v/>
      </c>
      <c r="AB75" s="29">
        <f>SUM(AB76:AB79)</f>
        <v>0</v>
      </c>
      <c r="AC75" s="77" t="str">
        <f t="shared" si="65"/>
        <v/>
      </c>
      <c r="AD75" s="69" t="str">
        <f t="shared" si="66"/>
        <v/>
      </c>
      <c r="AE75" s="29">
        <f>SUM(AE76:AE79)</f>
        <v>0</v>
      </c>
      <c r="AF75" s="77" t="str">
        <f t="shared" si="67"/>
        <v/>
      </c>
      <c r="AG75" s="69" t="str">
        <f t="shared" si="68"/>
        <v/>
      </c>
      <c r="AH75" s="29">
        <f>SUM(AH76:AH79)</f>
        <v>0</v>
      </c>
      <c r="AI75" s="77" t="str">
        <f t="shared" si="69"/>
        <v/>
      </c>
      <c r="AJ75" s="69" t="str">
        <f t="shared" si="70"/>
        <v/>
      </c>
      <c r="AK75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5" s="77" t="str">
        <f t="shared" si="71"/>
        <v/>
      </c>
      <c r="AM75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76" spans="1:39" outlineLevel="1" x14ac:dyDescent="0.25">
      <c r="A76" s="30" t="s">
        <v>206</v>
      </c>
      <c r="B76" s="31"/>
      <c r="C76" s="78" t="str">
        <f t="shared" si="48"/>
        <v/>
      </c>
      <c r="D76" s="31"/>
      <c r="E76" s="78" t="str">
        <f t="shared" si="49"/>
        <v/>
      </c>
      <c r="F76" s="69" t="str">
        <f t="shared" si="50"/>
        <v/>
      </c>
      <c r="G76" s="31"/>
      <c r="H76" s="78" t="str">
        <f t="shared" si="51"/>
        <v/>
      </c>
      <c r="I76" s="69" t="str">
        <f t="shared" si="52"/>
        <v/>
      </c>
      <c r="J76" s="31"/>
      <c r="K76" s="78" t="str">
        <f t="shared" si="53"/>
        <v/>
      </c>
      <c r="L76" s="69" t="str">
        <f t="shared" si="54"/>
        <v/>
      </c>
      <c r="M76" s="31"/>
      <c r="N76" s="78" t="str">
        <f t="shared" si="55"/>
        <v/>
      </c>
      <c r="O76" s="69" t="str">
        <f t="shared" si="56"/>
        <v/>
      </c>
      <c r="P76" s="31"/>
      <c r="Q76" s="78" t="str">
        <f t="shared" si="57"/>
        <v/>
      </c>
      <c r="R76" s="69" t="str">
        <f t="shared" si="58"/>
        <v/>
      </c>
      <c r="S76" s="31"/>
      <c r="T76" s="78" t="str">
        <f t="shared" si="59"/>
        <v/>
      </c>
      <c r="U76" s="69" t="str">
        <f t="shared" si="60"/>
        <v/>
      </c>
      <c r="V76" s="31"/>
      <c r="W76" s="78" t="str">
        <f t="shared" si="61"/>
        <v/>
      </c>
      <c r="X76" s="69" t="str">
        <f t="shared" si="62"/>
        <v/>
      </c>
      <c r="Y76" s="31"/>
      <c r="Z76" s="78" t="str">
        <f t="shared" si="63"/>
        <v/>
      </c>
      <c r="AA76" s="69" t="str">
        <f t="shared" si="64"/>
        <v/>
      </c>
      <c r="AB76" s="31"/>
      <c r="AC76" s="78" t="str">
        <f t="shared" si="65"/>
        <v/>
      </c>
      <c r="AD76" s="69" t="str">
        <f t="shared" si="66"/>
        <v/>
      </c>
      <c r="AE76" s="31"/>
      <c r="AF76" s="78" t="str">
        <f t="shared" si="67"/>
        <v/>
      </c>
      <c r="AG76" s="69" t="str">
        <f t="shared" si="68"/>
        <v/>
      </c>
      <c r="AH76" s="31"/>
      <c r="AI76" s="78" t="str">
        <f t="shared" si="69"/>
        <v/>
      </c>
      <c r="AJ76" s="69" t="str">
        <f t="shared" si="70"/>
        <v/>
      </c>
      <c r="AK7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6" s="78" t="str">
        <f t="shared" si="71"/>
        <v/>
      </c>
      <c r="AM7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7" spans="1:39" outlineLevel="1" x14ac:dyDescent="0.25">
      <c r="A77" s="30" t="s">
        <v>207</v>
      </c>
      <c r="B77" s="31"/>
      <c r="C77" s="78" t="str">
        <f t="shared" si="48"/>
        <v/>
      </c>
      <c r="D77" s="31"/>
      <c r="E77" s="78" t="str">
        <f t="shared" si="49"/>
        <v/>
      </c>
      <c r="F77" s="69" t="str">
        <f t="shared" si="50"/>
        <v/>
      </c>
      <c r="G77" s="31"/>
      <c r="H77" s="78" t="str">
        <f t="shared" si="51"/>
        <v/>
      </c>
      <c r="I77" s="69" t="str">
        <f t="shared" si="52"/>
        <v/>
      </c>
      <c r="J77" s="31"/>
      <c r="K77" s="78" t="str">
        <f t="shared" si="53"/>
        <v/>
      </c>
      <c r="L77" s="69" t="str">
        <f t="shared" si="54"/>
        <v/>
      </c>
      <c r="M77" s="31"/>
      <c r="N77" s="78" t="str">
        <f t="shared" si="55"/>
        <v/>
      </c>
      <c r="O77" s="69" t="str">
        <f t="shared" si="56"/>
        <v/>
      </c>
      <c r="P77" s="31"/>
      <c r="Q77" s="78" t="str">
        <f t="shared" si="57"/>
        <v/>
      </c>
      <c r="R77" s="69" t="str">
        <f t="shared" si="58"/>
        <v/>
      </c>
      <c r="S77" s="31"/>
      <c r="T77" s="78" t="str">
        <f t="shared" si="59"/>
        <v/>
      </c>
      <c r="U77" s="69" t="str">
        <f t="shared" si="60"/>
        <v/>
      </c>
      <c r="V77" s="31"/>
      <c r="W77" s="78" t="str">
        <f t="shared" si="61"/>
        <v/>
      </c>
      <c r="X77" s="69" t="str">
        <f t="shared" si="62"/>
        <v/>
      </c>
      <c r="Y77" s="31"/>
      <c r="Z77" s="78" t="str">
        <f t="shared" si="63"/>
        <v/>
      </c>
      <c r="AA77" s="69" t="str">
        <f t="shared" si="64"/>
        <v/>
      </c>
      <c r="AB77" s="31"/>
      <c r="AC77" s="78" t="str">
        <f t="shared" si="65"/>
        <v/>
      </c>
      <c r="AD77" s="69" t="str">
        <f t="shared" si="66"/>
        <v/>
      </c>
      <c r="AE77" s="31"/>
      <c r="AF77" s="78" t="str">
        <f t="shared" si="67"/>
        <v/>
      </c>
      <c r="AG77" s="69" t="str">
        <f t="shared" si="68"/>
        <v/>
      </c>
      <c r="AH77" s="31"/>
      <c r="AI77" s="78" t="str">
        <f t="shared" si="69"/>
        <v/>
      </c>
      <c r="AJ77" s="69" t="str">
        <f t="shared" si="70"/>
        <v/>
      </c>
      <c r="AK7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7" s="78" t="str">
        <f t="shared" si="71"/>
        <v/>
      </c>
      <c r="AM7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8" spans="1:39" outlineLevel="1" x14ac:dyDescent="0.25">
      <c r="A78" s="30" t="s">
        <v>208</v>
      </c>
      <c r="B78" s="31"/>
      <c r="C78" s="78" t="str">
        <f t="shared" si="48"/>
        <v/>
      </c>
      <c r="D78" s="31"/>
      <c r="E78" s="78" t="str">
        <f t="shared" si="49"/>
        <v/>
      </c>
      <c r="F78" s="69" t="str">
        <f t="shared" si="50"/>
        <v/>
      </c>
      <c r="G78" s="31"/>
      <c r="H78" s="78" t="str">
        <f t="shared" si="51"/>
        <v/>
      </c>
      <c r="I78" s="69" t="str">
        <f t="shared" si="52"/>
        <v/>
      </c>
      <c r="J78" s="31"/>
      <c r="K78" s="78" t="str">
        <f t="shared" si="53"/>
        <v/>
      </c>
      <c r="L78" s="69" t="str">
        <f t="shared" si="54"/>
        <v/>
      </c>
      <c r="M78" s="31"/>
      <c r="N78" s="78" t="str">
        <f t="shared" si="55"/>
        <v/>
      </c>
      <c r="O78" s="69" t="str">
        <f t="shared" si="56"/>
        <v/>
      </c>
      <c r="P78" s="31"/>
      <c r="Q78" s="78" t="str">
        <f t="shared" si="57"/>
        <v/>
      </c>
      <c r="R78" s="69" t="str">
        <f t="shared" si="58"/>
        <v/>
      </c>
      <c r="S78" s="31"/>
      <c r="T78" s="78" t="str">
        <f t="shared" si="59"/>
        <v/>
      </c>
      <c r="U78" s="69" t="str">
        <f t="shared" si="60"/>
        <v/>
      </c>
      <c r="V78" s="31"/>
      <c r="W78" s="78" t="str">
        <f t="shared" si="61"/>
        <v/>
      </c>
      <c r="X78" s="69" t="str">
        <f t="shared" si="62"/>
        <v/>
      </c>
      <c r="Y78" s="31"/>
      <c r="Z78" s="78" t="str">
        <f t="shared" si="63"/>
        <v/>
      </c>
      <c r="AA78" s="69" t="str">
        <f t="shared" si="64"/>
        <v/>
      </c>
      <c r="AB78" s="31"/>
      <c r="AC78" s="78" t="str">
        <f t="shared" si="65"/>
        <v/>
      </c>
      <c r="AD78" s="69" t="str">
        <f t="shared" si="66"/>
        <v/>
      </c>
      <c r="AE78" s="31"/>
      <c r="AF78" s="78" t="str">
        <f t="shared" si="67"/>
        <v/>
      </c>
      <c r="AG78" s="69" t="str">
        <f t="shared" si="68"/>
        <v/>
      </c>
      <c r="AH78" s="31"/>
      <c r="AI78" s="78" t="str">
        <f t="shared" si="69"/>
        <v/>
      </c>
      <c r="AJ78" s="69" t="str">
        <f t="shared" si="70"/>
        <v/>
      </c>
      <c r="AK7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8" s="78" t="str">
        <f t="shared" si="71"/>
        <v/>
      </c>
      <c r="AM7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79" spans="1:39" outlineLevel="1" x14ac:dyDescent="0.25">
      <c r="A79" s="30"/>
      <c r="B79" s="31"/>
      <c r="C79" s="78" t="str">
        <f t="shared" si="48"/>
        <v/>
      </c>
      <c r="D79" s="31"/>
      <c r="E79" s="78" t="str">
        <f t="shared" si="49"/>
        <v/>
      </c>
      <c r="F79" s="69" t="str">
        <f t="shared" si="50"/>
        <v/>
      </c>
      <c r="G79" s="31"/>
      <c r="H79" s="78" t="str">
        <f t="shared" si="51"/>
        <v/>
      </c>
      <c r="I79" s="69" t="str">
        <f t="shared" si="52"/>
        <v/>
      </c>
      <c r="J79" s="31"/>
      <c r="K79" s="78" t="str">
        <f t="shared" si="53"/>
        <v/>
      </c>
      <c r="L79" s="69" t="str">
        <f t="shared" si="54"/>
        <v/>
      </c>
      <c r="M79" s="31"/>
      <c r="N79" s="78" t="str">
        <f t="shared" si="55"/>
        <v/>
      </c>
      <c r="O79" s="69" t="str">
        <f t="shared" si="56"/>
        <v/>
      </c>
      <c r="P79" s="31"/>
      <c r="Q79" s="78" t="str">
        <f t="shared" si="57"/>
        <v/>
      </c>
      <c r="R79" s="69" t="str">
        <f t="shared" si="58"/>
        <v/>
      </c>
      <c r="S79" s="31"/>
      <c r="T79" s="78" t="str">
        <f t="shared" si="59"/>
        <v/>
      </c>
      <c r="U79" s="69" t="str">
        <f t="shared" si="60"/>
        <v/>
      </c>
      <c r="V79" s="31"/>
      <c r="W79" s="78" t="str">
        <f t="shared" si="61"/>
        <v/>
      </c>
      <c r="X79" s="69" t="str">
        <f t="shared" si="62"/>
        <v/>
      </c>
      <c r="Y79" s="31"/>
      <c r="Z79" s="78" t="str">
        <f t="shared" si="63"/>
        <v/>
      </c>
      <c r="AA79" s="69" t="str">
        <f t="shared" si="64"/>
        <v/>
      </c>
      <c r="AB79" s="31"/>
      <c r="AC79" s="78" t="str">
        <f t="shared" si="65"/>
        <v/>
      </c>
      <c r="AD79" s="69" t="str">
        <f t="shared" si="66"/>
        <v/>
      </c>
      <c r="AE79" s="31"/>
      <c r="AF79" s="78" t="str">
        <f t="shared" si="67"/>
        <v/>
      </c>
      <c r="AG79" s="69" t="str">
        <f t="shared" si="68"/>
        <v/>
      </c>
      <c r="AH79" s="31"/>
      <c r="AI79" s="78" t="str">
        <f t="shared" si="69"/>
        <v/>
      </c>
      <c r="AJ79" s="69" t="str">
        <f t="shared" si="70"/>
        <v/>
      </c>
      <c r="AK7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79" s="78" t="str">
        <f t="shared" si="71"/>
        <v/>
      </c>
      <c r="AM7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80" spans="1:39" outlineLevel="1" x14ac:dyDescent="0.25">
      <c r="A80" s="28" t="s">
        <v>209</v>
      </c>
      <c r="B80" s="29">
        <f>SUM(B81:B84)</f>
        <v>0</v>
      </c>
      <c r="C80" s="77" t="str">
        <f t="shared" si="48"/>
        <v/>
      </c>
      <c r="D80" s="29">
        <f>SUM(D81:D84)</f>
        <v>0</v>
      </c>
      <c r="E80" s="77" t="str">
        <f t="shared" si="49"/>
        <v/>
      </c>
      <c r="F80" s="69" t="str">
        <f t="shared" si="50"/>
        <v/>
      </c>
      <c r="G80" s="29">
        <f>SUM(G81:G84)</f>
        <v>0</v>
      </c>
      <c r="H80" s="77" t="str">
        <f t="shared" si="51"/>
        <v/>
      </c>
      <c r="I80" s="69" t="str">
        <f t="shared" si="52"/>
        <v/>
      </c>
      <c r="J80" s="29">
        <f>SUM(J81:J84)</f>
        <v>0</v>
      </c>
      <c r="K80" s="77" t="str">
        <f t="shared" si="53"/>
        <v/>
      </c>
      <c r="L80" s="69" t="str">
        <f t="shared" si="54"/>
        <v/>
      </c>
      <c r="M80" s="29">
        <f>SUM(M81:M84)</f>
        <v>0</v>
      </c>
      <c r="N80" s="77" t="str">
        <f t="shared" si="55"/>
        <v/>
      </c>
      <c r="O80" s="69" t="str">
        <f t="shared" si="56"/>
        <v/>
      </c>
      <c r="P80" s="29">
        <f>SUM(P81:P84)</f>
        <v>0</v>
      </c>
      <c r="Q80" s="77" t="str">
        <f t="shared" si="57"/>
        <v/>
      </c>
      <c r="R80" s="69" t="str">
        <f t="shared" si="58"/>
        <v/>
      </c>
      <c r="S80" s="29">
        <f>SUM(S81:S84)</f>
        <v>0</v>
      </c>
      <c r="T80" s="77" t="str">
        <f t="shared" si="59"/>
        <v/>
      </c>
      <c r="U80" s="69" t="str">
        <f t="shared" si="60"/>
        <v/>
      </c>
      <c r="V80" s="29">
        <f>SUM(V81:V84)</f>
        <v>0</v>
      </c>
      <c r="W80" s="77" t="str">
        <f t="shared" si="61"/>
        <v/>
      </c>
      <c r="X80" s="69" t="str">
        <f t="shared" si="62"/>
        <v/>
      </c>
      <c r="Y80" s="29">
        <f>SUM(Y81:Y84)</f>
        <v>0</v>
      </c>
      <c r="Z80" s="77" t="str">
        <f t="shared" si="63"/>
        <v/>
      </c>
      <c r="AA80" s="69" t="str">
        <f t="shared" si="64"/>
        <v/>
      </c>
      <c r="AB80" s="29">
        <f>SUM(AB81:AB84)</f>
        <v>0</v>
      </c>
      <c r="AC80" s="77" t="str">
        <f t="shared" si="65"/>
        <v/>
      </c>
      <c r="AD80" s="69" t="str">
        <f t="shared" si="66"/>
        <v/>
      </c>
      <c r="AE80" s="29">
        <f>SUM(AE81:AE84)</f>
        <v>0</v>
      </c>
      <c r="AF80" s="77" t="str">
        <f t="shared" si="67"/>
        <v/>
      </c>
      <c r="AG80" s="69" t="str">
        <f t="shared" si="68"/>
        <v/>
      </c>
      <c r="AH80" s="29">
        <f>SUM(AH81:AH84)</f>
        <v>0</v>
      </c>
      <c r="AI80" s="77" t="str">
        <f t="shared" si="69"/>
        <v/>
      </c>
      <c r="AJ80" s="69" t="str">
        <f t="shared" si="70"/>
        <v/>
      </c>
      <c r="AK80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0" s="77" t="str">
        <f t="shared" si="71"/>
        <v/>
      </c>
      <c r="AM80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81" spans="1:39" outlineLevel="1" x14ac:dyDescent="0.25">
      <c r="A81" s="30" t="s">
        <v>210</v>
      </c>
      <c r="B81" s="31"/>
      <c r="C81" s="78" t="str">
        <f t="shared" si="48"/>
        <v/>
      </c>
      <c r="D81" s="31"/>
      <c r="E81" s="78" t="str">
        <f t="shared" si="49"/>
        <v/>
      </c>
      <c r="F81" s="69" t="str">
        <f t="shared" si="50"/>
        <v/>
      </c>
      <c r="G81" s="31"/>
      <c r="H81" s="78" t="str">
        <f t="shared" si="51"/>
        <v/>
      </c>
      <c r="I81" s="69" t="str">
        <f t="shared" si="52"/>
        <v/>
      </c>
      <c r="J81" s="31"/>
      <c r="K81" s="78" t="str">
        <f t="shared" si="53"/>
        <v/>
      </c>
      <c r="L81" s="69" t="str">
        <f t="shared" si="54"/>
        <v/>
      </c>
      <c r="M81" s="31"/>
      <c r="N81" s="78" t="str">
        <f t="shared" si="55"/>
        <v/>
      </c>
      <c r="O81" s="69" t="str">
        <f t="shared" si="56"/>
        <v/>
      </c>
      <c r="P81" s="31"/>
      <c r="Q81" s="78" t="str">
        <f t="shared" si="57"/>
        <v/>
      </c>
      <c r="R81" s="69" t="str">
        <f t="shared" si="58"/>
        <v/>
      </c>
      <c r="S81" s="31"/>
      <c r="T81" s="78" t="str">
        <f t="shared" si="59"/>
        <v/>
      </c>
      <c r="U81" s="69" t="str">
        <f t="shared" si="60"/>
        <v/>
      </c>
      <c r="V81" s="31"/>
      <c r="W81" s="78" t="str">
        <f t="shared" si="61"/>
        <v/>
      </c>
      <c r="X81" s="69" t="str">
        <f t="shared" si="62"/>
        <v/>
      </c>
      <c r="Y81" s="31"/>
      <c r="Z81" s="78" t="str">
        <f t="shared" si="63"/>
        <v/>
      </c>
      <c r="AA81" s="69" t="str">
        <f t="shared" si="64"/>
        <v/>
      </c>
      <c r="AB81" s="31"/>
      <c r="AC81" s="78" t="str">
        <f t="shared" si="65"/>
        <v/>
      </c>
      <c r="AD81" s="69" t="str">
        <f t="shared" si="66"/>
        <v/>
      </c>
      <c r="AE81" s="31"/>
      <c r="AF81" s="78" t="str">
        <f t="shared" si="67"/>
        <v/>
      </c>
      <c r="AG81" s="69" t="str">
        <f t="shared" si="68"/>
        <v/>
      </c>
      <c r="AH81" s="31"/>
      <c r="AI81" s="78" t="str">
        <f t="shared" si="69"/>
        <v/>
      </c>
      <c r="AJ81" s="69" t="str">
        <f t="shared" si="70"/>
        <v/>
      </c>
      <c r="AK8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1" s="78" t="str">
        <f t="shared" si="71"/>
        <v/>
      </c>
      <c r="AM8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82" spans="1:39" outlineLevel="1" x14ac:dyDescent="0.25">
      <c r="A82" s="30" t="s">
        <v>211</v>
      </c>
      <c r="B82" s="31"/>
      <c r="C82" s="78" t="str">
        <f t="shared" si="48"/>
        <v/>
      </c>
      <c r="D82" s="31"/>
      <c r="E82" s="78" t="str">
        <f t="shared" si="49"/>
        <v/>
      </c>
      <c r="F82" s="69" t="str">
        <f t="shared" si="50"/>
        <v/>
      </c>
      <c r="G82" s="31"/>
      <c r="H82" s="78" t="str">
        <f t="shared" si="51"/>
        <v/>
      </c>
      <c r="I82" s="69" t="str">
        <f t="shared" si="52"/>
        <v/>
      </c>
      <c r="J82" s="31"/>
      <c r="K82" s="78" t="str">
        <f t="shared" si="53"/>
        <v/>
      </c>
      <c r="L82" s="69" t="str">
        <f t="shared" si="54"/>
        <v/>
      </c>
      <c r="M82" s="31"/>
      <c r="N82" s="78" t="str">
        <f t="shared" si="55"/>
        <v/>
      </c>
      <c r="O82" s="69" t="str">
        <f t="shared" si="56"/>
        <v/>
      </c>
      <c r="P82" s="31"/>
      <c r="Q82" s="78" t="str">
        <f t="shared" si="57"/>
        <v/>
      </c>
      <c r="R82" s="69" t="str">
        <f t="shared" si="58"/>
        <v/>
      </c>
      <c r="S82" s="31"/>
      <c r="T82" s="78" t="str">
        <f t="shared" si="59"/>
        <v/>
      </c>
      <c r="U82" s="69" t="str">
        <f t="shared" si="60"/>
        <v/>
      </c>
      <c r="V82" s="31"/>
      <c r="W82" s="78" t="str">
        <f t="shared" si="61"/>
        <v/>
      </c>
      <c r="X82" s="69" t="str">
        <f t="shared" si="62"/>
        <v/>
      </c>
      <c r="Y82" s="31"/>
      <c r="Z82" s="78" t="str">
        <f t="shared" si="63"/>
        <v/>
      </c>
      <c r="AA82" s="69" t="str">
        <f t="shared" si="64"/>
        <v/>
      </c>
      <c r="AB82" s="31"/>
      <c r="AC82" s="78" t="str">
        <f t="shared" si="65"/>
        <v/>
      </c>
      <c r="AD82" s="69" t="str">
        <f t="shared" si="66"/>
        <v/>
      </c>
      <c r="AE82" s="31"/>
      <c r="AF82" s="78" t="str">
        <f t="shared" si="67"/>
        <v/>
      </c>
      <c r="AG82" s="69" t="str">
        <f t="shared" si="68"/>
        <v/>
      </c>
      <c r="AH82" s="31"/>
      <c r="AI82" s="78" t="str">
        <f t="shared" si="69"/>
        <v/>
      </c>
      <c r="AJ82" s="69" t="str">
        <f t="shared" si="70"/>
        <v/>
      </c>
      <c r="AK8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2" s="78" t="str">
        <f t="shared" si="71"/>
        <v/>
      </c>
      <c r="AM8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83" spans="1:39" outlineLevel="1" x14ac:dyDescent="0.25">
      <c r="A83" s="30" t="s">
        <v>209</v>
      </c>
      <c r="B83" s="31"/>
      <c r="C83" s="78" t="str">
        <f t="shared" si="48"/>
        <v/>
      </c>
      <c r="D83" s="31"/>
      <c r="E83" s="78" t="str">
        <f t="shared" si="49"/>
        <v/>
      </c>
      <c r="F83" s="69" t="str">
        <f t="shared" si="50"/>
        <v/>
      </c>
      <c r="G83" s="31"/>
      <c r="H83" s="78" t="str">
        <f t="shared" si="51"/>
        <v/>
      </c>
      <c r="I83" s="69" t="str">
        <f t="shared" si="52"/>
        <v/>
      </c>
      <c r="J83" s="31"/>
      <c r="K83" s="78" t="str">
        <f t="shared" si="53"/>
        <v/>
      </c>
      <c r="L83" s="69" t="str">
        <f t="shared" si="54"/>
        <v/>
      </c>
      <c r="M83" s="31"/>
      <c r="N83" s="78" t="str">
        <f t="shared" si="55"/>
        <v/>
      </c>
      <c r="O83" s="69" t="str">
        <f t="shared" si="56"/>
        <v/>
      </c>
      <c r="P83" s="31"/>
      <c r="Q83" s="78" t="str">
        <f t="shared" si="57"/>
        <v/>
      </c>
      <c r="R83" s="69" t="str">
        <f t="shared" si="58"/>
        <v/>
      </c>
      <c r="S83" s="31"/>
      <c r="T83" s="78" t="str">
        <f t="shared" si="59"/>
        <v/>
      </c>
      <c r="U83" s="69" t="str">
        <f t="shared" si="60"/>
        <v/>
      </c>
      <c r="V83" s="31"/>
      <c r="W83" s="78" t="str">
        <f t="shared" si="61"/>
        <v/>
      </c>
      <c r="X83" s="69" t="str">
        <f t="shared" si="62"/>
        <v/>
      </c>
      <c r="Y83" s="31"/>
      <c r="Z83" s="78" t="str">
        <f t="shared" si="63"/>
        <v/>
      </c>
      <c r="AA83" s="69" t="str">
        <f t="shared" si="64"/>
        <v/>
      </c>
      <c r="AB83" s="31"/>
      <c r="AC83" s="78" t="str">
        <f t="shared" si="65"/>
        <v/>
      </c>
      <c r="AD83" s="69" t="str">
        <f t="shared" si="66"/>
        <v/>
      </c>
      <c r="AE83" s="31"/>
      <c r="AF83" s="78" t="str">
        <f t="shared" si="67"/>
        <v/>
      </c>
      <c r="AG83" s="69" t="str">
        <f t="shared" si="68"/>
        <v/>
      </c>
      <c r="AH83" s="31"/>
      <c r="AI83" s="78" t="str">
        <f t="shared" si="69"/>
        <v/>
      </c>
      <c r="AJ83" s="69" t="str">
        <f t="shared" si="70"/>
        <v/>
      </c>
      <c r="AK8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3" s="78" t="str">
        <f t="shared" si="71"/>
        <v/>
      </c>
      <c r="AM8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84" spans="1:39" outlineLevel="1" x14ac:dyDescent="0.25">
      <c r="A84" s="30"/>
      <c r="B84" s="31"/>
      <c r="C84" s="78" t="str">
        <f t="shared" si="48"/>
        <v/>
      </c>
      <c r="D84" s="31"/>
      <c r="E84" s="78" t="str">
        <f t="shared" si="49"/>
        <v/>
      </c>
      <c r="F84" s="69" t="str">
        <f t="shared" si="50"/>
        <v/>
      </c>
      <c r="G84" s="31"/>
      <c r="H84" s="78" t="str">
        <f t="shared" si="51"/>
        <v/>
      </c>
      <c r="I84" s="69" t="str">
        <f t="shared" si="52"/>
        <v/>
      </c>
      <c r="J84" s="31"/>
      <c r="K84" s="78" t="str">
        <f t="shared" si="53"/>
        <v/>
      </c>
      <c r="L84" s="69" t="str">
        <f t="shared" si="54"/>
        <v/>
      </c>
      <c r="M84" s="31"/>
      <c r="N84" s="78" t="str">
        <f t="shared" si="55"/>
        <v/>
      </c>
      <c r="O84" s="69" t="str">
        <f t="shared" si="56"/>
        <v/>
      </c>
      <c r="P84" s="31"/>
      <c r="Q84" s="78" t="str">
        <f t="shared" si="57"/>
        <v/>
      </c>
      <c r="R84" s="69" t="str">
        <f t="shared" si="58"/>
        <v/>
      </c>
      <c r="S84" s="31"/>
      <c r="T84" s="78" t="str">
        <f t="shared" si="59"/>
        <v/>
      </c>
      <c r="U84" s="69" t="str">
        <f t="shared" si="60"/>
        <v/>
      </c>
      <c r="V84" s="31"/>
      <c r="W84" s="78" t="str">
        <f t="shared" si="61"/>
        <v/>
      </c>
      <c r="X84" s="69" t="str">
        <f t="shared" si="62"/>
        <v/>
      </c>
      <c r="Y84" s="31"/>
      <c r="Z84" s="78" t="str">
        <f t="shared" si="63"/>
        <v/>
      </c>
      <c r="AA84" s="69" t="str">
        <f t="shared" si="64"/>
        <v/>
      </c>
      <c r="AB84" s="31"/>
      <c r="AC84" s="78" t="str">
        <f t="shared" si="65"/>
        <v/>
      </c>
      <c r="AD84" s="69" t="str">
        <f t="shared" si="66"/>
        <v/>
      </c>
      <c r="AE84" s="31"/>
      <c r="AF84" s="78" t="str">
        <f t="shared" si="67"/>
        <v/>
      </c>
      <c r="AG84" s="69" t="str">
        <f t="shared" si="68"/>
        <v/>
      </c>
      <c r="AH84" s="31"/>
      <c r="AI84" s="78" t="str">
        <f t="shared" si="69"/>
        <v/>
      </c>
      <c r="AJ84" s="69" t="str">
        <f t="shared" si="70"/>
        <v/>
      </c>
      <c r="AK8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4" s="78" t="str">
        <f t="shared" si="71"/>
        <v/>
      </c>
      <c r="AM8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85" spans="1:39" x14ac:dyDescent="0.25">
      <c r="A85" s="26" t="s">
        <v>212</v>
      </c>
      <c r="B85" s="27">
        <f>B43-B44-B64</f>
        <v>0</v>
      </c>
      <c r="C85" s="76" t="str">
        <f t="shared" si="48"/>
        <v/>
      </c>
      <c r="D85" s="27">
        <f>D43-D44-D64</f>
        <v>0</v>
      </c>
      <c r="E85" s="76" t="str">
        <f t="shared" si="49"/>
        <v/>
      </c>
      <c r="F85" s="69" t="str">
        <f t="shared" si="50"/>
        <v/>
      </c>
      <c r="G85" s="27">
        <f>G43-G44-G64</f>
        <v>0</v>
      </c>
      <c r="H85" s="76" t="str">
        <f t="shared" si="51"/>
        <v/>
      </c>
      <c r="I85" s="69" t="str">
        <f t="shared" si="52"/>
        <v/>
      </c>
      <c r="J85" s="27">
        <f>J43-J44-J64</f>
        <v>0</v>
      </c>
      <c r="K85" s="76" t="str">
        <f t="shared" si="53"/>
        <v/>
      </c>
      <c r="L85" s="69" t="str">
        <f t="shared" si="54"/>
        <v/>
      </c>
      <c r="M85" s="27">
        <f>M43-M44-M64</f>
        <v>0</v>
      </c>
      <c r="N85" s="76" t="str">
        <f t="shared" si="55"/>
        <v/>
      </c>
      <c r="O85" s="69" t="str">
        <f t="shared" si="56"/>
        <v/>
      </c>
      <c r="P85" s="27">
        <f>P43-P44-P64</f>
        <v>0</v>
      </c>
      <c r="Q85" s="76" t="str">
        <f t="shared" si="57"/>
        <v/>
      </c>
      <c r="R85" s="69" t="str">
        <f t="shared" si="58"/>
        <v/>
      </c>
      <c r="S85" s="27">
        <f>S43-S44-S64</f>
        <v>0</v>
      </c>
      <c r="T85" s="76" t="str">
        <f t="shared" si="59"/>
        <v/>
      </c>
      <c r="U85" s="69" t="str">
        <f t="shared" si="60"/>
        <v/>
      </c>
      <c r="V85" s="27">
        <f>V43-V44-V64</f>
        <v>0</v>
      </c>
      <c r="W85" s="76" t="str">
        <f t="shared" si="61"/>
        <v/>
      </c>
      <c r="X85" s="69" t="str">
        <f t="shared" si="62"/>
        <v/>
      </c>
      <c r="Y85" s="27">
        <f>Y43-Y44-Y64</f>
        <v>0</v>
      </c>
      <c r="Z85" s="76" t="str">
        <f t="shared" si="63"/>
        <v/>
      </c>
      <c r="AA85" s="69" t="str">
        <f t="shared" si="64"/>
        <v/>
      </c>
      <c r="AB85" s="27">
        <f>AB43-AB44-AB64</f>
        <v>0</v>
      </c>
      <c r="AC85" s="76" t="str">
        <f t="shared" si="65"/>
        <v/>
      </c>
      <c r="AD85" s="69" t="str">
        <f t="shared" si="66"/>
        <v/>
      </c>
      <c r="AE85" s="27">
        <f>AE43-AE44-AE64</f>
        <v>0</v>
      </c>
      <c r="AF85" s="76" t="str">
        <f t="shared" si="67"/>
        <v/>
      </c>
      <c r="AG85" s="69" t="str">
        <f t="shared" si="68"/>
        <v/>
      </c>
      <c r="AH85" s="27">
        <f>AH43-AH44-AH64</f>
        <v>0</v>
      </c>
      <c r="AI85" s="76" t="str">
        <f t="shared" si="69"/>
        <v/>
      </c>
      <c r="AJ85" s="69" t="str">
        <f t="shared" si="70"/>
        <v/>
      </c>
      <c r="AK85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5" s="76" t="str">
        <f t="shared" si="71"/>
        <v/>
      </c>
      <c r="AM85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86" spans="1:39" x14ac:dyDescent="0.25">
      <c r="A86" s="26" t="s">
        <v>213</v>
      </c>
      <c r="B86" s="27">
        <f>B87+B100</f>
        <v>0</v>
      </c>
      <c r="C86" s="76" t="str">
        <f t="shared" si="48"/>
        <v/>
      </c>
      <c r="D86" s="27">
        <f>D87+D100</f>
        <v>0</v>
      </c>
      <c r="E86" s="76" t="str">
        <f t="shared" si="49"/>
        <v/>
      </c>
      <c r="F86" s="69" t="str">
        <f t="shared" si="50"/>
        <v/>
      </c>
      <c r="G86" s="27">
        <f>G87+G100</f>
        <v>0</v>
      </c>
      <c r="H86" s="76" t="str">
        <f t="shared" si="51"/>
        <v/>
      </c>
      <c r="I86" s="69" t="str">
        <f t="shared" si="52"/>
        <v/>
      </c>
      <c r="J86" s="27">
        <f>J87+J100</f>
        <v>0</v>
      </c>
      <c r="K86" s="76" t="str">
        <f t="shared" si="53"/>
        <v/>
      </c>
      <c r="L86" s="69" t="str">
        <f t="shared" si="54"/>
        <v/>
      </c>
      <c r="M86" s="27">
        <f>M87+M100</f>
        <v>0</v>
      </c>
      <c r="N86" s="76" t="str">
        <f t="shared" si="55"/>
        <v/>
      </c>
      <c r="O86" s="69" t="str">
        <f t="shared" si="56"/>
        <v/>
      </c>
      <c r="P86" s="27">
        <f>P87+P100</f>
        <v>0</v>
      </c>
      <c r="Q86" s="76" t="str">
        <f t="shared" si="57"/>
        <v/>
      </c>
      <c r="R86" s="69" t="str">
        <f t="shared" si="58"/>
        <v/>
      </c>
      <c r="S86" s="27">
        <f>S87+S100</f>
        <v>0</v>
      </c>
      <c r="T86" s="76" t="str">
        <f t="shared" si="59"/>
        <v/>
      </c>
      <c r="U86" s="69" t="str">
        <f t="shared" si="60"/>
        <v/>
      </c>
      <c r="V86" s="27">
        <f>V87+V100</f>
        <v>0</v>
      </c>
      <c r="W86" s="76" t="str">
        <f t="shared" si="61"/>
        <v/>
      </c>
      <c r="X86" s="69" t="str">
        <f t="shared" si="62"/>
        <v/>
      </c>
      <c r="Y86" s="27">
        <f>Y87+Y100</f>
        <v>0</v>
      </c>
      <c r="Z86" s="76" t="str">
        <f t="shared" si="63"/>
        <v/>
      </c>
      <c r="AA86" s="69" t="str">
        <f t="shared" si="64"/>
        <v/>
      </c>
      <c r="AB86" s="27">
        <f>AB87+AB100</f>
        <v>0</v>
      </c>
      <c r="AC86" s="76" t="str">
        <f t="shared" si="65"/>
        <v/>
      </c>
      <c r="AD86" s="69" t="str">
        <f t="shared" si="66"/>
        <v/>
      </c>
      <c r="AE86" s="27">
        <f>AE87+AE100</f>
        <v>0</v>
      </c>
      <c r="AF86" s="76" t="str">
        <f t="shared" si="67"/>
        <v/>
      </c>
      <c r="AG86" s="69" t="str">
        <f t="shared" si="68"/>
        <v/>
      </c>
      <c r="AH86" s="27">
        <f>AH87+AH100</f>
        <v>0</v>
      </c>
      <c r="AI86" s="76" t="str">
        <f t="shared" si="69"/>
        <v/>
      </c>
      <c r="AJ86" s="69" t="str">
        <f t="shared" si="70"/>
        <v/>
      </c>
      <c r="AK86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6" s="76" t="str">
        <f t="shared" si="71"/>
        <v/>
      </c>
      <c r="AM86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87" spans="1:39" outlineLevel="1" x14ac:dyDescent="0.25">
      <c r="A87" s="28" t="s">
        <v>214</v>
      </c>
      <c r="B87" s="29">
        <f>SUM(B88:B99)</f>
        <v>0</v>
      </c>
      <c r="C87" s="77" t="str">
        <f t="shared" si="48"/>
        <v/>
      </c>
      <c r="D87" s="29">
        <f>SUM(D88:D99)</f>
        <v>0</v>
      </c>
      <c r="E87" s="77" t="str">
        <f t="shared" si="49"/>
        <v/>
      </c>
      <c r="F87" s="69" t="str">
        <f t="shared" si="50"/>
        <v/>
      </c>
      <c r="G87" s="29">
        <f>SUM(G88:G99)</f>
        <v>0</v>
      </c>
      <c r="H87" s="77" t="str">
        <f t="shared" si="51"/>
        <v/>
      </c>
      <c r="I87" s="69" t="str">
        <f t="shared" si="52"/>
        <v/>
      </c>
      <c r="J87" s="29">
        <f>SUM(J88:J99)</f>
        <v>0</v>
      </c>
      <c r="K87" s="77" t="str">
        <f t="shared" si="53"/>
        <v/>
      </c>
      <c r="L87" s="69" t="str">
        <f t="shared" si="54"/>
        <v/>
      </c>
      <c r="M87" s="29">
        <f>SUM(M88:M99)</f>
        <v>0</v>
      </c>
      <c r="N87" s="77" t="str">
        <f t="shared" si="55"/>
        <v/>
      </c>
      <c r="O87" s="69" t="str">
        <f t="shared" si="56"/>
        <v/>
      </c>
      <c r="P87" s="29">
        <f>SUM(P88:P99)</f>
        <v>0</v>
      </c>
      <c r="Q87" s="77" t="str">
        <f t="shared" si="57"/>
        <v/>
      </c>
      <c r="R87" s="69" t="str">
        <f t="shared" si="58"/>
        <v/>
      </c>
      <c r="S87" s="29">
        <f>SUM(S88:S99)</f>
        <v>0</v>
      </c>
      <c r="T87" s="77" t="str">
        <f t="shared" si="59"/>
        <v/>
      </c>
      <c r="U87" s="69" t="str">
        <f t="shared" si="60"/>
        <v/>
      </c>
      <c r="V87" s="29">
        <f>SUM(V88:V99)</f>
        <v>0</v>
      </c>
      <c r="W87" s="77" t="str">
        <f t="shared" si="61"/>
        <v/>
      </c>
      <c r="X87" s="69" t="str">
        <f t="shared" si="62"/>
        <v/>
      </c>
      <c r="Y87" s="29">
        <f>SUM(Y88:Y99)</f>
        <v>0</v>
      </c>
      <c r="Z87" s="77" t="str">
        <f t="shared" si="63"/>
        <v/>
      </c>
      <c r="AA87" s="69" t="str">
        <f t="shared" si="64"/>
        <v/>
      </c>
      <c r="AB87" s="29">
        <f>SUM(AB88:AB99)</f>
        <v>0</v>
      </c>
      <c r="AC87" s="77" t="str">
        <f t="shared" si="65"/>
        <v/>
      </c>
      <c r="AD87" s="69" t="str">
        <f t="shared" si="66"/>
        <v/>
      </c>
      <c r="AE87" s="29">
        <f>SUM(AE88:AE99)</f>
        <v>0</v>
      </c>
      <c r="AF87" s="77" t="str">
        <f t="shared" si="67"/>
        <v/>
      </c>
      <c r="AG87" s="69" t="str">
        <f t="shared" si="68"/>
        <v/>
      </c>
      <c r="AH87" s="29">
        <f>SUM(AH88:AH99)</f>
        <v>0</v>
      </c>
      <c r="AI87" s="77" t="str">
        <f t="shared" si="69"/>
        <v/>
      </c>
      <c r="AJ87" s="69" t="str">
        <f t="shared" si="70"/>
        <v/>
      </c>
      <c r="AK87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7" s="77" t="str">
        <f t="shared" si="71"/>
        <v/>
      </c>
      <c r="AM87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88" spans="1:39" outlineLevel="1" x14ac:dyDescent="0.25">
      <c r="A88" s="73" t="s">
        <v>215</v>
      </c>
      <c r="B88" s="31"/>
      <c r="C88" s="78" t="str">
        <f t="shared" si="48"/>
        <v/>
      </c>
      <c r="D88" s="31"/>
      <c r="E88" s="78" t="str">
        <f t="shared" si="49"/>
        <v/>
      </c>
      <c r="F88" s="69" t="str">
        <f t="shared" si="50"/>
        <v/>
      </c>
      <c r="G88" s="31"/>
      <c r="H88" s="78" t="str">
        <f t="shared" si="51"/>
        <v/>
      </c>
      <c r="I88" s="69" t="str">
        <f t="shared" si="52"/>
        <v/>
      </c>
      <c r="J88" s="31"/>
      <c r="K88" s="78" t="str">
        <f t="shared" si="53"/>
        <v/>
      </c>
      <c r="L88" s="69" t="str">
        <f t="shared" si="54"/>
        <v/>
      </c>
      <c r="M88" s="31"/>
      <c r="N88" s="78" t="str">
        <f t="shared" si="55"/>
        <v/>
      </c>
      <c r="O88" s="69" t="str">
        <f t="shared" si="56"/>
        <v/>
      </c>
      <c r="P88" s="31"/>
      <c r="Q88" s="78" t="str">
        <f t="shared" si="57"/>
        <v/>
      </c>
      <c r="R88" s="69" t="str">
        <f t="shared" si="58"/>
        <v/>
      </c>
      <c r="S88" s="31"/>
      <c r="T88" s="78" t="str">
        <f t="shared" si="59"/>
        <v/>
      </c>
      <c r="U88" s="69" t="str">
        <f t="shared" si="60"/>
        <v/>
      </c>
      <c r="V88" s="31"/>
      <c r="W88" s="78" t="str">
        <f t="shared" si="61"/>
        <v/>
      </c>
      <c r="X88" s="69" t="str">
        <f t="shared" si="62"/>
        <v/>
      </c>
      <c r="Y88" s="31"/>
      <c r="Z88" s="78" t="str">
        <f t="shared" si="63"/>
        <v/>
      </c>
      <c r="AA88" s="69" t="str">
        <f t="shared" si="64"/>
        <v/>
      </c>
      <c r="AB88" s="31"/>
      <c r="AC88" s="78" t="str">
        <f t="shared" si="65"/>
        <v/>
      </c>
      <c r="AD88" s="69" t="str">
        <f t="shared" si="66"/>
        <v/>
      </c>
      <c r="AE88" s="31"/>
      <c r="AF88" s="78" t="str">
        <f t="shared" si="67"/>
        <v/>
      </c>
      <c r="AG88" s="69" t="str">
        <f t="shared" si="68"/>
        <v/>
      </c>
      <c r="AH88" s="31"/>
      <c r="AI88" s="78" t="str">
        <f t="shared" si="69"/>
        <v/>
      </c>
      <c r="AJ88" s="69" t="str">
        <f t="shared" si="70"/>
        <v/>
      </c>
      <c r="AK8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8" s="78" t="str">
        <f t="shared" si="71"/>
        <v/>
      </c>
      <c r="AM8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89" spans="1:39" outlineLevel="1" x14ac:dyDescent="0.25">
      <c r="A89" s="73" t="s">
        <v>216</v>
      </c>
      <c r="B89" s="31"/>
      <c r="C89" s="78" t="str">
        <f t="shared" si="48"/>
        <v/>
      </c>
      <c r="D89" s="31"/>
      <c r="E89" s="78" t="str">
        <f t="shared" si="49"/>
        <v/>
      </c>
      <c r="F89" s="69" t="str">
        <f t="shared" si="50"/>
        <v/>
      </c>
      <c r="G89" s="31"/>
      <c r="H89" s="78" t="str">
        <f t="shared" si="51"/>
        <v/>
      </c>
      <c r="I89" s="69" t="str">
        <f t="shared" si="52"/>
        <v/>
      </c>
      <c r="J89" s="31"/>
      <c r="K89" s="78" t="str">
        <f t="shared" si="53"/>
        <v/>
      </c>
      <c r="L89" s="69" t="str">
        <f t="shared" si="54"/>
        <v/>
      </c>
      <c r="M89" s="31"/>
      <c r="N89" s="78" t="str">
        <f t="shared" si="55"/>
        <v/>
      </c>
      <c r="O89" s="69" t="str">
        <f t="shared" si="56"/>
        <v/>
      </c>
      <c r="P89" s="31"/>
      <c r="Q89" s="78" t="str">
        <f t="shared" si="57"/>
        <v/>
      </c>
      <c r="R89" s="69" t="str">
        <f t="shared" si="58"/>
        <v/>
      </c>
      <c r="S89" s="31"/>
      <c r="T89" s="78" t="str">
        <f t="shared" si="59"/>
        <v/>
      </c>
      <c r="U89" s="69" t="str">
        <f t="shared" si="60"/>
        <v/>
      </c>
      <c r="V89" s="31"/>
      <c r="W89" s="78" t="str">
        <f t="shared" si="61"/>
        <v/>
      </c>
      <c r="X89" s="69" t="str">
        <f t="shared" si="62"/>
        <v/>
      </c>
      <c r="Y89" s="31"/>
      <c r="Z89" s="78" t="str">
        <f t="shared" si="63"/>
        <v/>
      </c>
      <c r="AA89" s="69" t="str">
        <f t="shared" si="64"/>
        <v/>
      </c>
      <c r="AB89" s="31"/>
      <c r="AC89" s="78" t="str">
        <f t="shared" si="65"/>
        <v/>
      </c>
      <c r="AD89" s="69" t="str">
        <f t="shared" si="66"/>
        <v/>
      </c>
      <c r="AE89" s="31"/>
      <c r="AF89" s="78" t="str">
        <f t="shared" si="67"/>
        <v/>
      </c>
      <c r="AG89" s="69" t="str">
        <f t="shared" si="68"/>
        <v/>
      </c>
      <c r="AH89" s="31"/>
      <c r="AI89" s="78" t="str">
        <f t="shared" si="69"/>
        <v/>
      </c>
      <c r="AJ89" s="69" t="str">
        <f t="shared" si="70"/>
        <v/>
      </c>
      <c r="AK8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89" s="78" t="str">
        <f t="shared" si="71"/>
        <v/>
      </c>
      <c r="AM8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0" spans="1:39" outlineLevel="1" x14ac:dyDescent="0.25">
      <c r="A90" s="73" t="s">
        <v>217</v>
      </c>
      <c r="B90" s="31"/>
      <c r="C90" s="78" t="str">
        <f t="shared" si="48"/>
        <v/>
      </c>
      <c r="D90" s="31"/>
      <c r="E90" s="78" t="str">
        <f t="shared" si="49"/>
        <v/>
      </c>
      <c r="F90" s="69" t="str">
        <f t="shared" si="50"/>
        <v/>
      </c>
      <c r="G90" s="31"/>
      <c r="H90" s="78" t="str">
        <f t="shared" si="51"/>
        <v/>
      </c>
      <c r="I90" s="69" t="str">
        <f t="shared" si="52"/>
        <v/>
      </c>
      <c r="J90" s="31"/>
      <c r="K90" s="78" t="str">
        <f t="shared" si="53"/>
        <v/>
      </c>
      <c r="L90" s="69" t="str">
        <f t="shared" si="54"/>
        <v/>
      </c>
      <c r="M90" s="31"/>
      <c r="N90" s="78" t="str">
        <f t="shared" si="55"/>
        <v/>
      </c>
      <c r="O90" s="69" t="str">
        <f t="shared" si="56"/>
        <v/>
      </c>
      <c r="P90" s="31"/>
      <c r="Q90" s="78" t="str">
        <f t="shared" si="57"/>
        <v/>
      </c>
      <c r="R90" s="69" t="str">
        <f t="shared" si="58"/>
        <v/>
      </c>
      <c r="S90" s="31"/>
      <c r="T90" s="78" t="str">
        <f t="shared" si="59"/>
        <v/>
      </c>
      <c r="U90" s="69" t="str">
        <f t="shared" si="60"/>
        <v/>
      </c>
      <c r="V90" s="31"/>
      <c r="W90" s="78" t="str">
        <f t="shared" si="61"/>
        <v/>
      </c>
      <c r="X90" s="69" t="str">
        <f t="shared" si="62"/>
        <v/>
      </c>
      <c r="Y90" s="31"/>
      <c r="Z90" s="78" t="str">
        <f t="shared" si="63"/>
        <v/>
      </c>
      <c r="AA90" s="69" t="str">
        <f t="shared" si="64"/>
        <v/>
      </c>
      <c r="AB90" s="31"/>
      <c r="AC90" s="78" t="str">
        <f t="shared" si="65"/>
        <v/>
      </c>
      <c r="AD90" s="69" t="str">
        <f t="shared" si="66"/>
        <v/>
      </c>
      <c r="AE90" s="31"/>
      <c r="AF90" s="78" t="str">
        <f t="shared" si="67"/>
        <v/>
      </c>
      <c r="AG90" s="69" t="str">
        <f t="shared" si="68"/>
        <v/>
      </c>
      <c r="AH90" s="31"/>
      <c r="AI90" s="78" t="str">
        <f t="shared" si="69"/>
        <v/>
      </c>
      <c r="AJ90" s="69" t="str">
        <f t="shared" si="70"/>
        <v/>
      </c>
      <c r="AK9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0" s="78" t="str">
        <f t="shared" si="71"/>
        <v/>
      </c>
      <c r="AM9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1" spans="1:39" outlineLevel="1" x14ac:dyDescent="0.25">
      <c r="A91" s="73" t="s">
        <v>218</v>
      </c>
      <c r="B91" s="31"/>
      <c r="C91" s="78" t="str">
        <f t="shared" si="48"/>
        <v/>
      </c>
      <c r="D91" s="31"/>
      <c r="E91" s="78" t="str">
        <f t="shared" si="49"/>
        <v/>
      </c>
      <c r="F91" s="69" t="str">
        <f t="shared" si="50"/>
        <v/>
      </c>
      <c r="G91" s="31"/>
      <c r="H91" s="78" t="str">
        <f t="shared" si="51"/>
        <v/>
      </c>
      <c r="I91" s="69" t="str">
        <f t="shared" si="52"/>
        <v/>
      </c>
      <c r="J91" s="31"/>
      <c r="K91" s="78" t="str">
        <f t="shared" si="53"/>
        <v/>
      </c>
      <c r="L91" s="69" t="str">
        <f t="shared" si="54"/>
        <v/>
      </c>
      <c r="M91" s="31"/>
      <c r="N91" s="78" t="str">
        <f t="shared" si="55"/>
        <v/>
      </c>
      <c r="O91" s="69" t="str">
        <f t="shared" si="56"/>
        <v/>
      </c>
      <c r="P91" s="31"/>
      <c r="Q91" s="78" t="str">
        <f t="shared" si="57"/>
        <v/>
      </c>
      <c r="R91" s="69" t="str">
        <f t="shared" si="58"/>
        <v/>
      </c>
      <c r="S91" s="31"/>
      <c r="T91" s="78" t="str">
        <f t="shared" si="59"/>
        <v/>
      </c>
      <c r="U91" s="69" t="str">
        <f t="shared" si="60"/>
        <v/>
      </c>
      <c r="V91" s="31"/>
      <c r="W91" s="78" t="str">
        <f t="shared" si="61"/>
        <v/>
      </c>
      <c r="X91" s="69" t="str">
        <f t="shared" si="62"/>
        <v/>
      </c>
      <c r="Y91" s="31"/>
      <c r="Z91" s="78" t="str">
        <f t="shared" si="63"/>
        <v/>
      </c>
      <c r="AA91" s="69" t="str">
        <f t="shared" si="64"/>
        <v/>
      </c>
      <c r="AB91" s="31"/>
      <c r="AC91" s="78" t="str">
        <f t="shared" si="65"/>
        <v/>
      </c>
      <c r="AD91" s="69" t="str">
        <f t="shared" si="66"/>
        <v/>
      </c>
      <c r="AE91" s="31"/>
      <c r="AF91" s="78" t="str">
        <f t="shared" si="67"/>
        <v/>
      </c>
      <c r="AG91" s="69" t="str">
        <f t="shared" si="68"/>
        <v/>
      </c>
      <c r="AH91" s="31"/>
      <c r="AI91" s="78" t="str">
        <f t="shared" si="69"/>
        <v/>
      </c>
      <c r="AJ91" s="69" t="str">
        <f t="shared" si="70"/>
        <v/>
      </c>
      <c r="AK9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1" s="78" t="str">
        <f t="shared" si="71"/>
        <v/>
      </c>
      <c r="AM9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2" spans="1:39" outlineLevel="1" x14ac:dyDescent="0.25">
      <c r="A92" s="73" t="s">
        <v>219</v>
      </c>
      <c r="B92" s="31"/>
      <c r="C92" s="78" t="str">
        <f t="shared" si="48"/>
        <v/>
      </c>
      <c r="D92" s="31"/>
      <c r="E92" s="78" t="str">
        <f t="shared" si="49"/>
        <v/>
      </c>
      <c r="F92" s="69" t="str">
        <f t="shared" si="50"/>
        <v/>
      </c>
      <c r="G92" s="31"/>
      <c r="H92" s="78" t="str">
        <f t="shared" si="51"/>
        <v/>
      </c>
      <c r="I92" s="69" t="str">
        <f t="shared" si="52"/>
        <v/>
      </c>
      <c r="J92" s="31"/>
      <c r="K92" s="78" t="str">
        <f t="shared" si="53"/>
        <v/>
      </c>
      <c r="L92" s="69" t="str">
        <f t="shared" si="54"/>
        <v/>
      </c>
      <c r="M92" s="31"/>
      <c r="N92" s="78" t="str">
        <f t="shared" si="55"/>
        <v/>
      </c>
      <c r="O92" s="69" t="str">
        <f t="shared" si="56"/>
        <v/>
      </c>
      <c r="P92" s="31"/>
      <c r="Q92" s="78" t="str">
        <f t="shared" si="57"/>
        <v/>
      </c>
      <c r="R92" s="69" t="str">
        <f t="shared" si="58"/>
        <v/>
      </c>
      <c r="S92" s="31"/>
      <c r="T92" s="78" t="str">
        <f t="shared" si="59"/>
        <v/>
      </c>
      <c r="U92" s="69" t="str">
        <f t="shared" si="60"/>
        <v/>
      </c>
      <c r="V92" s="31"/>
      <c r="W92" s="78" t="str">
        <f t="shared" si="61"/>
        <v/>
      </c>
      <c r="X92" s="69" t="str">
        <f t="shared" si="62"/>
        <v/>
      </c>
      <c r="Y92" s="31"/>
      <c r="Z92" s="78" t="str">
        <f t="shared" si="63"/>
        <v/>
      </c>
      <c r="AA92" s="69" t="str">
        <f t="shared" si="64"/>
        <v/>
      </c>
      <c r="AB92" s="31"/>
      <c r="AC92" s="78" t="str">
        <f t="shared" si="65"/>
        <v/>
      </c>
      <c r="AD92" s="69" t="str">
        <f t="shared" si="66"/>
        <v/>
      </c>
      <c r="AE92" s="31"/>
      <c r="AF92" s="78" t="str">
        <f t="shared" si="67"/>
        <v/>
      </c>
      <c r="AG92" s="69" t="str">
        <f t="shared" si="68"/>
        <v/>
      </c>
      <c r="AH92" s="31"/>
      <c r="AI92" s="78" t="str">
        <f t="shared" si="69"/>
        <v/>
      </c>
      <c r="AJ92" s="69" t="str">
        <f t="shared" si="70"/>
        <v/>
      </c>
      <c r="AK9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2" s="78" t="str">
        <f t="shared" si="71"/>
        <v/>
      </c>
      <c r="AM9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3" spans="1:39" outlineLevel="1" x14ac:dyDescent="0.25">
      <c r="A93" s="73" t="s">
        <v>220</v>
      </c>
      <c r="B93" s="31"/>
      <c r="C93" s="78" t="str">
        <f t="shared" si="48"/>
        <v/>
      </c>
      <c r="D93" s="31"/>
      <c r="E93" s="78" t="str">
        <f t="shared" si="49"/>
        <v/>
      </c>
      <c r="F93" s="69" t="str">
        <f t="shared" si="50"/>
        <v/>
      </c>
      <c r="G93" s="31"/>
      <c r="H93" s="78" t="str">
        <f t="shared" si="51"/>
        <v/>
      </c>
      <c r="I93" s="69" t="str">
        <f t="shared" si="52"/>
        <v/>
      </c>
      <c r="J93" s="31"/>
      <c r="K93" s="78" t="str">
        <f t="shared" si="53"/>
        <v/>
      </c>
      <c r="L93" s="69" t="str">
        <f t="shared" si="54"/>
        <v/>
      </c>
      <c r="M93" s="31"/>
      <c r="N93" s="78" t="str">
        <f t="shared" si="55"/>
        <v/>
      </c>
      <c r="O93" s="69" t="str">
        <f t="shared" si="56"/>
        <v/>
      </c>
      <c r="P93" s="31"/>
      <c r="Q93" s="78" t="str">
        <f t="shared" si="57"/>
        <v/>
      </c>
      <c r="R93" s="69" t="str">
        <f t="shared" si="58"/>
        <v/>
      </c>
      <c r="S93" s="31"/>
      <c r="T93" s="78" t="str">
        <f t="shared" si="59"/>
        <v/>
      </c>
      <c r="U93" s="69" t="str">
        <f t="shared" si="60"/>
        <v/>
      </c>
      <c r="V93" s="31"/>
      <c r="W93" s="78" t="str">
        <f t="shared" si="61"/>
        <v/>
      </c>
      <c r="X93" s="69" t="str">
        <f t="shared" si="62"/>
        <v/>
      </c>
      <c r="Y93" s="31"/>
      <c r="Z93" s="78" t="str">
        <f t="shared" si="63"/>
        <v/>
      </c>
      <c r="AA93" s="69" t="str">
        <f t="shared" si="64"/>
        <v/>
      </c>
      <c r="AB93" s="31"/>
      <c r="AC93" s="78" t="str">
        <f t="shared" si="65"/>
        <v/>
      </c>
      <c r="AD93" s="69" t="str">
        <f t="shared" si="66"/>
        <v/>
      </c>
      <c r="AE93" s="31"/>
      <c r="AF93" s="78" t="str">
        <f t="shared" si="67"/>
        <v/>
      </c>
      <c r="AG93" s="69" t="str">
        <f t="shared" si="68"/>
        <v/>
      </c>
      <c r="AH93" s="31"/>
      <c r="AI93" s="78" t="str">
        <f t="shared" si="69"/>
        <v/>
      </c>
      <c r="AJ93" s="69" t="str">
        <f t="shared" si="70"/>
        <v/>
      </c>
      <c r="AK9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3" s="78" t="str">
        <f t="shared" si="71"/>
        <v/>
      </c>
      <c r="AM9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4" spans="1:39" outlineLevel="1" x14ac:dyDescent="0.25">
      <c r="A94" s="73" t="s">
        <v>221</v>
      </c>
      <c r="B94" s="31"/>
      <c r="C94" s="78" t="str">
        <f t="shared" si="48"/>
        <v/>
      </c>
      <c r="D94" s="31"/>
      <c r="E94" s="78" t="str">
        <f t="shared" si="49"/>
        <v/>
      </c>
      <c r="F94" s="69" t="str">
        <f t="shared" si="50"/>
        <v/>
      </c>
      <c r="G94" s="31"/>
      <c r="H94" s="78" t="str">
        <f t="shared" si="51"/>
        <v/>
      </c>
      <c r="I94" s="69" t="str">
        <f t="shared" si="52"/>
        <v/>
      </c>
      <c r="J94" s="31"/>
      <c r="K94" s="78" t="str">
        <f t="shared" si="53"/>
        <v/>
      </c>
      <c r="L94" s="69" t="str">
        <f t="shared" si="54"/>
        <v/>
      </c>
      <c r="M94" s="31"/>
      <c r="N94" s="78" t="str">
        <f t="shared" si="55"/>
        <v/>
      </c>
      <c r="O94" s="69" t="str">
        <f t="shared" si="56"/>
        <v/>
      </c>
      <c r="P94" s="31"/>
      <c r="Q94" s="78" t="str">
        <f t="shared" si="57"/>
        <v/>
      </c>
      <c r="R94" s="69" t="str">
        <f t="shared" si="58"/>
        <v/>
      </c>
      <c r="S94" s="31"/>
      <c r="T94" s="78" t="str">
        <f t="shared" si="59"/>
        <v/>
      </c>
      <c r="U94" s="69" t="str">
        <f t="shared" si="60"/>
        <v/>
      </c>
      <c r="V94" s="31"/>
      <c r="W94" s="78" t="str">
        <f t="shared" si="61"/>
        <v/>
      </c>
      <c r="X94" s="69" t="str">
        <f t="shared" si="62"/>
        <v/>
      </c>
      <c r="Y94" s="31"/>
      <c r="Z94" s="78" t="str">
        <f t="shared" si="63"/>
        <v/>
      </c>
      <c r="AA94" s="69" t="str">
        <f t="shared" si="64"/>
        <v/>
      </c>
      <c r="AB94" s="31"/>
      <c r="AC94" s="78" t="str">
        <f t="shared" si="65"/>
        <v/>
      </c>
      <c r="AD94" s="69" t="str">
        <f t="shared" si="66"/>
        <v/>
      </c>
      <c r="AE94" s="31"/>
      <c r="AF94" s="78" t="str">
        <f t="shared" si="67"/>
        <v/>
      </c>
      <c r="AG94" s="69" t="str">
        <f t="shared" si="68"/>
        <v/>
      </c>
      <c r="AH94" s="31"/>
      <c r="AI94" s="78" t="str">
        <f t="shared" si="69"/>
        <v/>
      </c>
      <c r="AJ94" s="69" t="str">
        <f t="shared" si="70"/>
        <v/>
      </c>
      <c r="AK9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4" s="78" t="str">
        <f t="shared" si="71"/>
        <v/>
      </c>
      <c r="AM9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5" spans="1:39" outlineLevel="1" x14ac:dyDescent="0.25">
      <c r="A95" s="73" t="s">
        <v>222</v>
      </c>
      <c r="B95" s="31"/>
      <c r="C95" s="78" t="str">
        <f t="shared" si="48"/>
        <v/>
      </c>
      <c r="D95" s="31"/>
      <c r="E95" s="78" t="str">
        <f t="shared" si="49"/>
        <v/>
      </c>
      <c r="F95" s="69" t="str">
        <f t="shared" si="50"/>
        <v/>
      </c>
      <c r="G95" s="31"/>
      <c r="H95" s="78" t="str">
        <f t="shared" si="51"/>
        <v/>
      </c>
      <c r="I95" s="69" t="str">
        <f t="shared" si="52"/>
        <v/>
      </c>
      <c r="J95" s="31"/>
      <c r="K95" s="78" t="str">
        <f t="shared" si="53"/>
        <v/>
      </c>
      <c r="L95" s="69" t="str">
        <f t="shared" si="54"/>
        <v/>
      </c>
      <c r="M95" s="31"/>
      <c r="N95" s="78" t="str">
        <f t="shared" si="55"/>
        <v/>
      </c>
      <c r="O95" s="69" t="str">
        <f t="shared" si="56"/>
        <v/>
      </c>
      <c r="P95" s="31"/>
      <c r="Q95" s="78" t="str">
        <f t="shared" si="57"/>
        <v/>
      </c>
      <c r="R95" s="69" t="str">
        <f t="shared" si="58"/>
        <v/>
      </c>
      <c r="S95" s="31"/>
      <c r="T95" s="78" t="str">
        <f t="shared" si="59"/>
        <v/>
      </c>
      <c r="U95" s="69" t="str">
        <f t="shared" si="60"/>
        <v/>
      </c>
      <c r="V95" s="31"/>
      <c r="W95" s="78" t="str">
        <f t="shared" si="61"/>
        <v/>
      </c>
      <c r="X95" s="69" t="str">
        <f t="shared" si="62"/>
        <v/>
      </c>
      <c r="Y95" s="31"/>
      <c r="Z95" s="78" t="str">
        <f t="shared" si="63"/>
        <v/>
      </c>
      <c r="AA95" s="69" t="str">
        <f t="shared" si="64"/>
        <v/>
      </c>
      <c r="AB95" s="31"/>
      <c r="AC95" s="78" t="str">
        <f t="shared" si="65"/>
        <v/>
      </c>
      <c r="AD95" s="69" t="str">
        <f t="shared" si="66"/>
        <v/>
      </c>
      <c r="AE95" s="31"/>
      <c r="AF95" s="78" t="str">
        <f t="shared" si="67"/>
        <v/>
      </c>
      <c r="AG95" s="69" t="str">
        <f t="shared" si="68"/>
        <v/>
      </c>
      <c r="AH95" s="31"/>
      <c r="AI95" s="78" t="str">
        <f t="shared" si="69"/>
        <v/>
      </c>
      <c r="AJ95" s="69" t="str">
        <f t="shared" si="70"/>
        <v/>
      </c>
      <c r="AK9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5" s="78" t="str">
        <f t="shared" si="71"/>
        <v/>
      </c>
      <c r="AM9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6" spans="1:39" outlineLevel="1" x14ac:dyDescent="0.25">
      <c r="A96" s="73" t="s">
        <v>223</v>
      </c>
      <c r="B96" s="31"/>
      <c r="C96" s="78" t="str">
        <f t="shared" si="48"/>
        <v/>
      </c>
      <c r="D96" s="31"/>
      <c r="E96" s="78" t="str">
        <f t="shared" si="49"/>
        <v/>
      </c>
      <c r="F96" s="69" t="str">
        <f t="shared" si="50"/>
        <v/>
      </c>
      <c r="G96" s="31"/>
      <c r="H96" s="78" t="str">
        <f t="shared" si="51"/>
        <v/>
      </c>
      <c r="I96" s="69" t="str">
        <f t="shared" si="52"/>
        <v/>
      </c>
      <c r="J96" s="31"/>
      <c r="K96" s="78" t="str">
        <f t="shared" si="53"/>
        <v/>
      </c>
      <c r="L96" s="69" t="str">
        <f t="shared" si="54"/>
        <v/>
      </c>
      <c r="M96" s="31"/>
      <c r="N96" s="78" t="str">
        <f t="shared" si="55"/>
        <v/>
      </c>
      <c r="O96" s="69" t="str">
        <f t="shared" si="56"/>
        <v/>
      </c>
      <c r="P96" s="31"/>
      <c r="Q96" s="78" t="str">
        <f t="shared" si="57"/>
        <v/>
      </c>
      <c r="R96" s="69" t="str">
        <f t="shared" si="58"/>
        <v/>
      </c>
      <c r="S96" s="31"/>
      <c r="T96" s="78" t="str">
        <f t="shared" si="59"/>
        <v/>
      </c>
      <c r="U96" s="69" t="str">
        <f t="shared" si="60"/>
        <v/>
      </c>
      <c r="V96" s="31"/>
      <c r="W96" s="78" t="str">
        <f t="shared" si="61"/>
        <v/>
      </c>
      <c r="X96" s="69" t="str">
        <f t="shared" si="62"/>
        <v/>
      </c>
      <c r="Y96" s="31"/>
      <c r="Z96" s="78" t="str">
        <f t="shared" si="63"/>
        <v/>
      </c>
      <c r="AA96" s="69" t="str">
        <f t="shared" si="64"/>
        <v/>
      </c>
      <c r="AB96" s="31"/>
      <c r="AC96" s="78" t="str">
        <f t="shared" si="65"/>
        <v/>
      </c>
      <c r="AD96" s="69" t="str">
        <f t="shared" si="66"/>
        <v/>
      </c>
      <c r="AE96" s="31"/>
      <c r="AF96" s="78" t="str">
        <f t="shared" si="67"/>
        <v/>
      </c>
      <c r="AG96" s="69" t="str">
        <f t="shared" si="68"/>
        <v/>
      </c>
      <c r="AH96" s="31"/>
      <c r="AI96" s="78" t="str">
        <f t="shared" si="69"/>
        <v/>
      </c>
      <c r="AJ96" s="69" t="str">
        <f t="shared" si="70"/>
        <v/>
      </c>
      <c r="AK9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6" s="78" t="str">
        <f t="shared" si="71"/>
        <v/>
      </c>
      <c r="AM9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7" spans="1:39" outlineLevel="1" x14ac:dyDescent="0.25">
      <c r="A97" s="73" t="s">
        <v>224</v>
      </c>
      <c r="B97" s="31"/>
      <c r="C97" s="78" t="str">
        <f t="shared" si="48"/>
        <v/>
      </c>
      <c r="D97" s="31"/>
      <c r="E97" s="78" t="str">
        <f t="shared" si="49"/>
        <v/>
      </c>
      <c r="F97" s="69" t="str">
        <f t="shared" si="50"/>
        <v/>
      </c>
      <c r="G97" s="31"/>
      <c r="H97" s="78" t="str">
        <f t="shared" si="51"/>
        <v/>
      </c>
      <c r="I97" s="69" t="str">
        <f t="shared" si="52"/>
        <v/>
      </c>
      <c r="J97" s="31"/>
      <c r="K97" s="78" t="str">
        <f t="shared" si="53"/>
        <v/>
      </c>
      <c r="L97" s="69" t="str">
        <f t="shared" si="54"/>
        <v/>
      </c>
      <c r="M97" s="31"/>
      <c r="N97" s="78" t="str">
        <f t="shared" si="55"/>
        <v/>
      </c>
      <c r="O97" s="69" t="str">
        <f t="shared" si="56"/>
        <v/>
      </c>
      <c r="P97" s="31"/>
      <c r="Q97" s="78" t="str">
        <f t="shared" si="57"/>
        <v/>
      </c>
      <c r="R97" s="69" t="str">
        <f t="shared" si="58"/>
        <v/>
      </c>
      <c r="S97" s="31"/>
      <c r="T97" s="78" t="str">
        <f t="shared" si="59"/>
        <v/>
      </c>
      <c r="U97" s="69" t="str">
        <f t="shared" si="60"/>
        <v/>
      </c>
      <c r="V97" s="31"/>
      <c r="W97" s="78" t="str">
        <f t="shared" si="61"/>
        <v/>
      </c>
      <c r="X97" s="69" t="str">
        <f t="shared" si="62"/>
        <v/>
      </c>
      <c r="Y97" s="31"/>
      <c r="Z97" s="78" t="str">
        <f t="shared" si="63"/>
        <v/>
      </c>
      <c r="AA97" s="69" t="str">
        <f t="shared" si="64"/>
        <v/>
      </c>
      <c r="AB97" s="31"/>
      <c r="AC97" s="78" t="str">
        <f t="shared" si="65"/>
        <v/>
      </c>
      <c r="AD97" s="69" t="str">
        <f t="shared" si="66"/>
        <v/>
      </c>
      <c r="AE97" s="31"/>
      <c r="AF97" s="78" t="str">
        <f t="shared" si="67"/>
        <v/>
      </c>
      <c r="AG97" s="69" t="str">
        <f t="shared" si="68"/>
        <v/>
      </c>
      <c r="AH97" s="31"/>
      <c r="AI97" s="78" t="str">
        <f t="shared" si="69"/>
        <v/>
      </c>
      <c r="AJ97" s="69" t="str">
        <f t="shared" si="70"/>
        <v/>
      </c>
      <c r="AK9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7" s="78" t="str">
        <f t="shared" si="71"/>
        <v/>
      </c>
      <c r="AM9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8" spans="1:39" outlineLevel="1" x14ac:dyDescent="0.25">
      <c r="A98" s="73" t="s">
        <v>225</v>
      </c>
      <c r="B98" s="31"/>
      <c r="C98" s="78" t="str">
        <f t="shared" si="48"/>
        <v/>
      </c>
      <c r="D98" s="31"/>
      <c r="E98" s="78" t="str">
        <f t="shared" si="49"/>
        <v/>
      </c>
      <c r="F98" s="69" t="str">
        <f t="shared" si="50"/>
        <v/>
      </c>
      <c r="G98" s="31"/>
      <c r="H98" s="78" t="str">
        <f t="shared" si="51"/>
        <v/>
      </c>
      <c r="I98" s="69" t="str">
        <f t="shared" si="52"/>
        <v/>
      </c>
      <c r="J98" s="31"/>
      <c r="K98" s="78" t="str">
        <f t="shared" si="53"/>
        <v/>
      </c>
      <c r="L98" s="69" t="str">
        <f t="shared" si="54"/>
        <v/>
      </c>
      <c r="M98" s="31"/>
      <c r="N98" s="78" t="str">
        <f t="shared" si="55"/>
        <v/>
      </c>
      <c r="O98" s="69" t="str">
        <f t="shared" si="56"/>
        <v/>
      </c>
      <c r="P98" s="31"/>
      <c r="Q98" s="78" t="str">
        <f t="shared" si="57"/>
        <v/>
      </c>
      <c r="R98" s="69" t="str">
        <f t="shared" si="58"/>
        <v/>
      </c>
      <c r="S98" s="31"/>
      <c r="T98" s="78" t="str">
        <f t="shared" si="59"/>
        <v/>
      </c>
      <c r="U98" s="69" t="str">
        <f t="shared" si="60"/>
        <v/>
      </c>
      <c r="V98" s="31"/>
      <c r="W98" s="78" t="str">
        <f t="shared" si="61"/>
        <v/>
      </c>
      <c r="X98" s="69" t="str">
        <f t="shared" si="62"/>
        <v/>
      </c>
      <c r="Y98" s="31"/>
      <c r="Z98" s="78" t="str">
        <f t="shared" si="63"/>
        <v/>
      </c>
      <c r="AA98" s="69" t="str">
        <f t="shared" si="64"/>
        <v/>
      </c>
      <c r="AB98" s="31"/>
      <c r="AC98" s="78" t="str">
        <f t="shared" si="65"/>
        <v/>
      </c>
      <c r="AD98" s="69" t="str">
        <f t="shared" si="66"/>
        <v/>
      </c>
      <c r="AE98" s="31"/>
      <c r="AF98" s="78" t="str">
        <f t="shared" si="67"/>
        <v/>
      </c>
      <c r="AG98" s="69" t="str">
        <f t="shared" si="68"/>
        <v/>
      </c>
      <c r="AH98" s="31"/>
      <c r="AI98" s="78" t="str">
        <f t="shared" si="69"/>
        <v/>
      </c>
      <c r="AJ98" s="69" t="str">
        <f t="shared" si="70"/>
        <v/>
      </c>
      <c r="AK9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8" s="78" t="str">
        <f t="shared" si="71"/>
        <v/>
      </c>
      <c r="AM9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99" spans="1:39" outlineLevel="1" x14ac:dyDescent="0.25">
      <c r="A99" s="74"/>
      <c r="B99" s="31"/>
      <c r="C99" s="78" t="str">
        <f t="shared" ref="C99:C130" si="72">IFERROR(B99/$B$3,"")</f>
        <v/>
      </c>
      <c r="D99" s="31"/>
      <c r="E99" s="78" t="str">
        <f t="shared" ref="E99:E130" si="73">IFERROR(D99/$D$3,"")</f>
        <v/>
      </c>
      <c r="F99" s="69" t="str">
        <f t="shared" ref="F99:F130" si="74">IFERROR((D99-B99)/B99,"")</f>
        <v/>
      </c>
      <c r="G99" s="31"/>
      <c r="H99" s="78" t="str">
        <f t="shared" ref="H99:H130" si="75">IFERROR(G99/$G$3,"")</f>
        <v/>
      </c>
      <c r="I99" s="69" t="str">
        <f t="shared" ref="I99:I130" si="76">IFERROR((G99-D99)/D99,"")</f>
        <v/>
      </c>
      <c r="J99" s="31"/>
      <c r="K99" s="78" t="str">
        <f t="shared" ref="K99:K130" si="77">IFERROR(J99/$J$3,"")</f>
        <v/>
      </c>
      <c r="L99" s="69" t="str">
        <f t="shared" ref="L99:L130" si="78">IFERROR((J99-G99)/G99,"")</f>
        <v/>
      </c>
      <c r="M99" s="31"/>
      <c r="N99" s="78" t="str">
        <f t="shared" ref="N99:N130" si="79">IFERROR(M99/$M$3,"")</f>
        <v/>
      </c>
      <c r="O99" s="69" t="str">
        <f t="shared" ref="O99:O130" si="80">IFERROR((M99-J99)/J99,"")</f>
        <v/>
      </c>
      <c r="P99" s="31"/>
      <c r="Q99" s="78" t="str">
        <f t="shared" ref="Q99:Q130" si="81">IFERROR(P99/$P$3,"")</f>
        <v/>
      </c>
      <c r="R99" s="69" t="str">
        <f t="shared" ref="R99:R130" si="82">IFERROR((P99-M99)/M99,"")</f>
        <v/>
      </c>
      <c r="S99" s="31"/>
      <c r="T99" s="78" t="str">
        <f t="shared" ref="T99:T130" si="83">IFERROR(S99/$S$3,"")</f>
        <v/>
      </c>
      <c r="U99" s="69" t="str">
        <f t="shared" ref="U99:U130" si="84">IFERROR((S99-P99)/P99,"")</f>
        <v/>
      </c>
      <c r="V99" s="31"/>
      <c r="W99" s="78" t="str">
        <f t="shared" ref="W99:W130" si="85">IFERROR(V99/$V$3,"")</f>
        <v/>
      </c>
      <c r="X99" s="69" t="str">
        <f t="shared" ref="X99:X130" si="86">IFERROR((V99-S99)/S99,"")</f>
        <v/>
      </c>
      <c r="Y99" s="31"/>
      <c r="Z99" s="78" t="str">
        <f t="shared" ref="Z99:Z130" si="87">IFERROR(Y99/$Y$3,"")</f>
        <v/>
      </c>
      <c r="AA99" s="69" t="str">
        <f t="shared" ref="AA99:AA130" si="88">IFERROR((Y99-V99)/V99,"")</f>
        <v/>
      </c>
      <c r="AB99" s="31"/>
      <c r="AC99" s="78" t="str">
        <f t="shared" ref="AC99:AC130" si="89">IFERROR(AB99/$AB$3,"")</f>
        <v/>
      </c>
      <c r="AD99" s="69" t="str">
        <f t="shared" ref="AD99:AD130" si="90">IFERROR((AB99-Y99)/Y99,"")</f>
        <v/>
      </c>
      <c r="AE99" s="31"/>
      <c r="AF99" s="78" t="str">
        <f t="shared" ref="AF99:AF130" si="91">IFERROR(AE99/$AE$3,"")</f>
        <v/>
      </c>
      <c r="AG99" s="69" t="str">
        <f t="shared" ref="AG99:AG130" si="92">IFERROR((AE99-AB99)/AB99,"")</f>
        <v/>
      </c>
      <c r="AH99" s="31"/>
      <c r="AI99" s="78" t="str">
        <f t="shared" ref="AI99:AI130" si="93">IFERROR(AH99/$AH$3,"")</f>
        <v/>
      </c>
      <c r="AJ99" s="69" t="str">
        <f t="shared" ref="AJ99:AJ130" si="94">IFERROR((AH99-AE99)/AE99,"")</f>
        <v/>
      </c>
      <c r="AK9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99" s="78" t="str">
        <f t="shared" ref="AL99:AL130" si="95">IFERROR(AK99/$AK$3,"")</f>
        <v/>
      </c>
      <c r="AM9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00" spans="1:39" outlineLevel="1" x14ac:dyDescent="0.25">
      <c r="A100" s="28" t="s">
        <v>226</v>
      </c>
      <c r="B100" s="29">
        <f>SUM(B101:B104)</f>
        <v>0</v>
      </c>
      <c r="C100" s="77" t="str">
        <f t="shared" si="72"/>
        <v/>
      </c>
      <c r="D100" s="29">
        <f>SUM(D101:D104)</f>
        <v>0</v>
      </c>
      <c r="E100" s="77" t="str">
        <f t="shared" si="73"/>
        <v/>
      </c>
      <c r="F100" s="69" t="str">
        <f t="shared" si="74"/>
        <v/>
      </c>
      <c r="G100" s="29">
        <f>SUM(G101:G104)</f>
        <v>0</v>
      </c>
      <c r="H100" s="77" t="str">
        <f t="shared" si="75"/>
        <v/>
      </c>
      <c r="I100" s="69" t="str">
        <f t="shared" si="76"/>
        <v/>
      </c>
      <c r="J100" s="29">
        <f>SUM(J101:J104)</f>
        <v>0</v>
      </c>
      <c r="K100" s="77" t="str">
        <f t="shared" si="77"/>
        <v/>
      </c>
      <c r="L100" s="69" t="str">
        <f t="shared" si="78"/>
        <v/>
      </c>
      <c r="M100" s="29">
        <f>SUM(M101:M104)</f>
        <v>0</v>
      </c>
      <c r="N100" s="77" t="str">
        <f t="shared" si="79"/>
        <v/>
      </c>
      <c r="O100" s="69" t="str">
        <f t="shared" si="80"/>
        <v/>
      </c>
      <c r="P100" s="29">
        <f>SUM(P101:P104)</f>
        <v>0</v>
      </c>
      <c r="Q100" s="77" t="str">
        <f t="shared" si="81"/>
        <v/>
      </c>
      <c r="R100" s="69" t="str">
        <f t="shared" si="82"/>
        <v/>
      </c>
      <c r="S100" s="29">
        <f>SUM(S101:S104)</f>
        <v>0</v>
      </c>
      <c r="T100" s="77" t="str">
        <f t="shared" si="83"/>
        <v/>
      </c>
      <c r="U100" s="69" t="str">
        <f t="shared" si="84"/>
        <v/>
      </c>
      <c r="V100" s="29">
        <f>SUM(V101:V104)</f>
        <v>0</v>
      </c>
      <c r="W100" s="77" t="str">
        <f t="shared" si="85"/>
        <v/>
      </c>
      <c r="X100" s="69" t="str">
        <f t="shared" si="86"/>
        <v/>
      </c>
      <c r="Y100" s="29">
        <f>SUM(Y101:Y104)</f>
        <v>0</v>
      </c>
      <c r="Z100" s="77" t="str">
        <f t="shared" si="87"/>
        <v/>
      </c>
      <c r="AA100" s="69" t="str">
        <f t="shared" si="88"/>
        <v/>
      </c>
      <c r="AB100" s="29">
        <f>SUM(AB101:AB104)</f>
        <v>0</v>
      </c>
      <c r="AC100" s="77" t="str">
        <f t="shared" si="89"/>
        <v/>
      </c>
      <c r="AD100" s="69" t="str">
        <f t="shared" si="90"/>
        <v/>
      </c>
      <c r="AE100" s="29">
        <f>SUM(AE101:AE104)</f>
        <v>0</v>
      </c>
      <c r="AF100" s="77" t="str">
        <f t="shared" si="91"/>
        <v/>
      </c>
      <c r="AG100" s="69" t="str">
        <f t="shared" si="92"/>
        <v/>
      </c>
      <c r="AH100" s="29">
        <f>SUM(AH101:AH104)</f>
        <v>0</v>
      </c>
      <c r="AI100" s="77" t="str">
        <f t="shared" si="93"/>
        <v/>
      </c>
      <c r="AJ100" s="69" t="str">
        <f t="shared" si="94"/>
        <v/>
      </c>
      <c r="AK100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0" s="77" t="str">
        <f t="shared" si="95"/>
        <v/>
      </c>
      <c r="AM100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01" spans="1:39" outlineLevel="1" x14ac:dyDescent="0.25">
      <c r="A101" s="74" t="s">
        <v>227</v>
      </c>
      <c r="B101" s="31"/>
      <c r="C101" s="78" t="str">
        <f t="shared" si="72"/>
        <v/>
      </c>
      <c r="D101" s="31"/>
      <c r="E101" s="78" t="str">
        <f t="shared" si="73"/>
        <v/>
      </c>
      <c r="F101" s="69" t="str">
        <f t="shared" si="74"/>
        <v/>
      </c>
      <c r="G101" s="31"/>
      <c r="H101" s="78" t="str">
        <f t="shared" si="75"/>
        <v/>
      </c>
      <c r="I101" s="69" t="str">
        <f t="shared" si="76"/>
        <v/>
      </c>
      <c r="J101" s="31"/>
      <c r="K101" s="78" t="str">
        <f t="shared" si="77"/>
        <v/>
      </c>
      <c r="L101" s="69" t="str">
        <f t="shared" si="78"/>
        <v/>
      </c>
      <c r="M101" s="31"/>
      <c r="N101" s="78" t="str">
        <f t="shared" si="79"/>
        <v/>
      </c>
      <c r="O101" s="69" t="str">
        <f t="shared" si="80"/>
        <v/>
      </c>
      <c r="P101" s="31"/>
      <c r="Q101" s="78" t="str">
        <f t="shared" si="81"/>
        <v/>
      </c>
      <c r="R101" s="69" t="str">
        <f t="shared" si="82"/>
        <v/>
      </c>
      <c r="S101" s="31"/>
      <c r="T101" s="78" t="str">
        <f t="shared" si="83"/>
        <v/>
      </c>
      <c r="U101" s="69" t="str">
        <f t="shared" si="84"/>
        <v/>
      </c>
      <c r="V101" s="31"/>
      <c r="W101" s="78" t="str">
        <f t="shared" si="85"/>
        <v/>
      </c>
      <c r="X101" s="69" t="str">
        <f t="shared" si="86"/>
        <v/>
      </c>
      <c r="Y101" s="31"/>
      <c r="Z101" s="78" t="str">
        <f t="shared" si="87"/>
        <v/>
      </c>
      <c r="AA101" s="69" t="str">
        <f t="shared" si="88"/>
        <v/>
      </c>
      <c r="AB101" s="31"/>
      <c r="AC101" s="78" t="str">
        <f t="shared" si="89"/>
        <v/>
      </c>
      <c r="AD101" s="69" t="str">
        <f t="shared" si="90"/>
        <v/>
      </c>
      <c r="AE101" s="31"/>
      <c r="AF101" s="78" t="str">
        <f t="shared" si="91"/>
        <v/>
      </c>
      <c r="AG101" s="69" t="str">
        <f t="shared" si="92"/>
        <v/>
      </c>
      <c r="AH101" s="31"/>
      <c r="AI101" s="78" t="str">
        <f t="shared" si="93"/>
        <v/>
      </c>
      <c r="AJ101" s="69" t="str">
        <f t="shared" si="94"/>
        <v/>
      </c>
      <c r="AK10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1" s="78" t="str">
        <f t="shared" si="95"/>
        <v/>
      </c>
      <c r="AM10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02" spans="1:39" outlineLevel="1" x14ac:dyDescent="0.25">
      <c r="A102" s="74" t="s">
        <v>228</v>
      </c>
      <c r="B102" s="31"/>
      <c r="C102" s="78" t="str">
        <f t="shared" si="72"/>
        <v/>
      </c>
      <c r="D102" s="31"/>
      <c r="E102" s="78" t="str">
        <f t="shared" si="73"/>
        <v/>
      </c>
      <c r="F102" s="69" t="str">
        <f t="shared" si="74"/>
        <v/>
      </c>
      <c r="G102" s="31"/>
      <c r="H102" s="78" t="str">
        <f t="shared" si="75"/>
        <v/>
      </c>
      <c r="I102" s="69" t="str">
        <f t="shared" si="76"/>
        <v/>
      </c>
      <c r="J102" s="31"/>
      <c r="K102" s="78" t="str">
        <f t="shared" si="77"/>
        <v/>
      </c>
      <c r="L102" s="69" t="str">
        <f t="shared" si="78"/>
        <v/>
      </c>
      <c r="M102" s="31"/>
      <c r="N102" s="78" t="str">
        <f t="shared" si="79"/>
        <v/>
      </c>
      <c r="O102" s="69" t="str">
        <f t="shared" si="80"/>
        <v/>
      </c>
      <c r="P102" s="31"/>
      <c r="Q102" s="78" t="str">
        <f t="shared" si="81"/>
        <v/>
      </c>
      <c r="R102" s="69" t="str">
        <f t="shared" si="82"/>
        <v/>
      </c>
      <c r="S102" s="31"/>
      <c r="T102" s="78" t="str">
        <f t="shared" si="83"/>
        <v/>
      </c>
      <c r="U102" s="69" t="str">
        <f t="shared" si="84"/>
        <v/>
      </c>
      <c r="V102" s="31"/>
      <c r="W102" s="78" t="str">
        <f t="shared" si="85"/>
        <v/>
      </c>
      <c r="X102" s="69" t="str">
        <f t="shared" si="86"/>
        <v/>
      </c>
      <c r="Y102" s="31"/>
      <c r="Z102" s="78" t="str">
        <f t="shared" si="87"/>
        <v/>
      </c>
      <c r="AA102" s="69" t="str">
        <f t="shared" si="88"/>
        <v/>
      </c>
      <c r="AB102" s="31"/>
      <c r="AC102" s="78" t="str">
        <f t="shared" si="89"/>
        <v/>
      </c>
      <c r="AD102" s="69" t="str">
        <f t="shared" si="90"/>
        <v/>
      </c>
      <c r="AE102" s="31"/>
      <c r="AF102" s="78" t="str">
        <f t="shared" si="91"/>
        <v/>
      </c>
      <c r="AG102" s="69" t="str">
        <f t="shared" si="92"/>
        <v/>
      </c>
      <c r="AH102" s="31"/>
      <c r="AI102" s="78" t="str">
        <f t="shared" si="93"/>
        <v/>
      </c>
      <c r="AJ102" s="69" t="str">
        <f t="shared" si="94"/>
        <v/>
      </c>
      <c r="AK10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2" s="78" t="str">
        <f t="shared" si="95"/>
        <v/>
      </c>
      <c r="AM10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03" spans="1:39" outlineLevel="1" x14ac:dyDescent="0.25">
      <c r="A103" s="74" t="s">
        <v>193</v>
      </c>
      <c r="B103" s="31"/>
      <c r="C103" s="78" t="str">
        <f t="shared" si="72"/>
        <v/>
      </c>
      <c r="D103" s="31"/>
      <c r="E103" s="78" t="str">
        <f t="shared" si="73"/>
        <v/>
      </c>
      <c r="F103" s="69" t="str">
        <f t="shared" si="74"/>
        <v/>
      </c>
      <c r="G103" s="31"/>
      <c r="H103" s="78" t="str">
        <f t="shared" si="75"/>
        <v/>
      </c>
      <c r="I103" s="69" t="str">
        <f t="shared" si="76"/>
        <v/>
      </c>
      <c r="J103" s="31"/>
      <c r="K103" s="78" t="str">
        <f t="shared" si="77"/>
        <v/>
      </c>
      <c r="L103" s="69" t="str">
        <f t="shared" si="78"/>
        <v/>
      </c>
      <c r="M103" s="31"/>
      <c r="N103" s="78" t="str">
        <f t="shared" si="79"/>
        <v/>
      </c>
      <c r="O103" s="69" t="str">
        <f t="shared" si="80"/>
        <v/>
      </c>
      <c r="P103" s="31"/>
      <c r="Q103" s="78" t="str">
        <f t="shared" si="81"/>
        <v/>
      </c>
      <c r="R103" s="69" t="str">
        <f t="shared" si="82"/>
        <v/>
      </c>
      <c r="S103" s="31"/>
      <c r="T103" s="78" t="str">
        <f t="shared" si="83"/>
        <v/>
      </c>
      <c r="U103" s="69" t="str">
        <f t="shared" si="84"/>
        <v/>
      </c>
      <c r="V103" s="31"/>
      <c r="W103" s="78" t="str">
        <f t="shared" si="85"/>
        <v/>
      </c>
      <c r="X103" s="69" t="str">
        <f t="shared" si="86"/>
        <v/>
      </c>
      <c r="Y103" s="31"/>
      <c r="Z103" s="78" t="str">
        <f t="shared" si="87"/>
        <v/>
      </c>
      <c r="AA103" s="69" t="str">
        <f t="shared" si="88"/>
        <v/>
      </c>
      <c r="AB103" s="31"/>
      <c r="AC103" s="78" t="str">
        <f t="shared" si="89"/>
        <v/>
      </c>
      <c r="AD103" s="69" t="str">
        <f t="shared" si="90"/>
        <v/>
      </c>
      <c r="AE103" s="31"/>
      <c r="AF103" s="78" t="str">
        <f t="shared" si="91"/>
        <v/>
      </c>
      <c r="AG103" s="69" t="str">
        <f t="shared" si="92"/>
        <v/>
      </c>
      <c r="AH103" s="31"/>
      <c r="AI103" s="78" t="str">
        <f t="shared" si="93"/>
        <v/>
      </c>
      <c r="AJ103" s="69" t="str">
        <f t="shared" si="94"/>
        <v/>
      </c>
      <c r="AK10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3" s="78" t="str">
        <f t="shared" si="95"/>
        <v/>
      </c>
      <c r="AM10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04" spans="1:39" outlineLevel="1" x14ac:dyDescent="0.25">
      <c r="A104" s="30"/>
      <c r="B104" s="31"/>
      <c r="C104" s="78" t="str">
        <f t="shared" si="72"/>
        <v/>
      </c>
      <c r="D104" s="31"/>
      <c r="E104" s="78" t="str">
        <f t="shared" si="73"/>
        <v/>
      </c>
      <c r="F104" s="69" t="str">
        <f t="shared" si="74"/>
        <v/>
      </c>
      <c r="G104" s="31"/>
      <c r="H104" s="78" t="str">
        <f t="shared" si="75"/>
        <v/>
      </c>
      <c r="I104" s="69" t="str">
        <f t="shared" si="76"/>
        <v/>
      </c>
      <c r="J104" s="31"/>
      <c r="K104" s="78" t="str">
        <f t="shared" si="77"/>
        <v/>
      </c>
      <c r="L104" s="69" t="str">
        <f t="shared" si="78"/>
        <v/>
      </c>
      <c r="M104" s="31"/>
      <c r="N104" s="78" t="str">
        <f t="shared" si="79"/>
        <v/>
      </c>
      <c r="O104" s="69" t="str">
        <f t="shared" si="80"/>
        <v/>
      </c>
      <c r="P104" s="31"/>
      <c r="Q104" s="78" t="str">
        <f t="shared" si="81"/>
        <v/>
      </c>
      <c r="R104" s="69" t="str">
        <f t="shared" si="82"/>
        <v/>
      </c>
      <c r="S104" s="31"/>
      <c r="T104" s="78" t="str">
        <f t="shared" si="83"/>
        <v/>
      </c>
      <c r="U104" s="69" t="str">
        <f t="shared" si="84"/>
        <v/>
      </c>
      <c r="V104" s="31"/>
      <c r="W104" s="78" t="str">
        <f t="shared" si="85"/>
        <v/>
      </c>
      <c r="X104" s="69" t="str">
        <f t="shared" si="86"/>
        <v/>
      </c>
      <c r="Y104" s="31"/>
      <c r="Z104" s="78" t="str">
        <f t="shared" si="87"/>
        <v/>
      </c>
      <c r="AA104" s="69" t="str">
        <f t="shared" si="88"/>
        <v/>
      </c>
      <c r="AB104" s="31"/>
      <c r="AC104" s="78" t="str">
        <f t="shared" si="89"/>
        <v/>
      </c>
      <c r="AD104" s="69" t="str">
        <f t="shared" si="90"/>
        <v/>
      </c>
      <c r="AE104" s="31"/>
      <c r="AF104" s="78" t="str">
        <f t="shared" si="91"/>
        <v/>
      </c>
      <c r="AG104" s="69" t="str">
        <f t="shared" si="92"/>
        <v/>
      </c>
      <c r="AH104" s="31"/>
      <c r="AI104" s="78" t="str">
        <f t="shared" si="93"/>
        <v/>
      </c>
      <c r="AJ104" s="69" t="str">
        <f t="shared" si="94"/>
        <v/>
      </c>
      <c r="AK10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4" s="78" t="str">
        <f t="shared" si="95"/>
        <v/>
      </c>
      <c r="AM10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05" spans="1:39" x14ac:dyDescent="0.25">
      <c r="A105" s="26" t="s">
        <v>229</v>
      </c>
      <c r="B105" s="27">
        <f>B106+B118+B144</f>
        <v>0</v>
      </c>
      <c r="C105" s="76" t="str">
        <f t="shared" si="72"/>
        <v/>
      </c>
      <c r="D105" s="27">
        <f>D106+D118+D144</f>
        <v>0</v>
      </c>
      <c r="E105" s="76" t="str">
        <f t="shared" si="73"/>
        <v/>
      </c>
      <c r="F105" s="69" t="str">
        <f t="shared" si="74"/>
        <v/>
      </c>
      <c r="G105" s="27">
        <f>G106+G118+G144</f>
        <v>0</v>
      </c>
      <c r="H105" s="76" t="str">
        <f t="shared" si="75"/>
        <v/>
      </c>
      <c r="I105" s="69" t="str">
        <f t="shared" si="76"/>
        <v/>
      </c>
      <c r="J105" s="27">
        <f>J106+J118+J144</f>
        <v>0</v>
      </c>
      <c r="K105" s="76" t="str">
        <f t="shared" si="77"/>
        <v/>
      </c>
      <c r="L105" s="69" t="str">
        <f t="shared" si="78"/>
        <v/>
      </c>
      <c r="M105" s="27">
        <f>M106+M118+M144</f>
        <v>0</v>
      </c>
      <c r="N105" s="76" t="str">
        <f t="shared" si="79"/>
        <v/>
      </c>
      <c r="O105" s="69" t="str">
        <f t="shared" si="80"/>
        <v/>
      </c>
      <c r="P105" s="27">
        <f>P106+P118+P144</f>
        <v>0</v>
      </c>
      <c r="Q105" s="76" t="str">
        <f t="shared" si="81"/>
        <v/>
      </c>
      <c r="R105" s="69" t="str">
        <f t="shared" si="82"/>
        <v/>
      </c>
      <c r="S105" s="27">
        <f>S106+S118+S144</f>
        <v>0</v>
      </c>
      <c r="T105" s="76" t="str">
        <f t="shared" si="83"/>
        <v/>
      </c>
      <c r="U105" s="69" t="str">
        <f t="shared" si="84"/>
        <v/>
      </c>
      <c r="V105" s="27">
        <f>V106+V118+V144</f>
        <v>0</v>
      </c>
      <c r="W105" s="76" t="str">
        <f t="shared" si="85"/>
        <v/>
      </c>
      <c r="X105" s="69" t="str">
        <f t="shared" si="86"/>
        <v/>
      </c>
      <c r="Y105" s="27">
        <f>Y106+Y118+Y144</f>
        <v>0</v>
      </c>
      <c r="Z105" s="76" t="str">
        <f t="shared" si="87"/>
        <v/>
      </c>
      <c r="AA105" s="69" t="str">
        <f t="shared" si="88"/>
        <v/>
      </c>
      <c r="AB105" s="27">
        <f>AB106+AB118+AB144</f>
        <v>0</v>
      </c>
      <c r="AC105" s="76" t="str">
        <f t="shared" si="89"/>
        <v/>
      </c>
      <c r="AD105" s="69" t="str">
        <f t="shared" si="90"/>
        <v/>
      </c>
      <c r="AE105" s="27">
        <f>AE106+AE118+AE144</f>
        <v>0</v>
      </c>
      <c r="AF105" s="76" t="str">
        <f t="shared" si="91"/>
        <v/>
      </c>
      <c r="AG105" s="69" t="str">
        <f t="shared" si="92"/>
        <v/>
      </c>
      <c r="AH105" s="27">
        <f>AH106+AH118+AH144</f>
        <v>0</v>
      </c>
      <c r="AI105" s="76" t="str">
        <f t="shared" si="93"/>
        <v/>
      </c>
      <c r="AJ105" s="69" t="str">
        <f t="shared" si="94"/>
        <v/>
      </c>
      <c r="AK105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5" s="76" t="str">
        <f t="shared" si="95"/>
        <v/>
      </c>
      <c r="AM105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06" spans="1:39" outlineLevel="1" x14ac:dyDescent="0.25">
      <c r="A106" s="28" t="s">
        <v>230</v>
      </c>
      <c r="B106" s="29">
        <f>SUM(B107:B117)</f>
        <v>0</v>
      </c>
      <c r="C106" s="77" t="str">
        <f t="shared" si="72"/>
        <v/>
      </c>
      <c r="D106" s="29">
        <f>SUM(D107:D117)</f>
        <v>0</v>
      </c>
      <c r="E106" s="77" t="str">
        <f t="shared" si="73"/>
        <v/>
      </c>
      <c r="F106" s="69" t="str">
        <f t="shared" si="74"/>
        <v/>
      </c>
      <c r="G106" s="29">
        <f>SUM(G107:G117)</f>
        <v>0</v>
      </c>
      <c r="H106" s="77" t="str">
        <f t="shared" si="75"/>
        <v/>
      </c>
      <c r="I106" s="69" t="str">
        <f t="shared" si="76"/>
        <v/>
      </c>
      <c r="J106" s="29">
        <f>SUM(J107:J117)</f>
        <v>0</v>
      </c>
      <c r="K106" s="77" t="str">
        <f t="shared" si="77"/>
        <v/>
      </c>
      <c r="L106" s="69" t="str">
        <f t="shared" si="78"/>
        <v/>
      </c>
      <c r="M106" s="29">
        <f>SUM(M107:M117)</f>
        <v>0</v>
      </c>
      <c r="N106" s="77" t="str">
        <f t="shared" si="79"/>
        <v/>
      </c>
      <c r="O106" s="69" t="str">
        <f t="shared" si="80"/>
        <v/>
      </c>
      <c r="P106" s="29">
        <f>SUM(P107:P117)</f>
        <v>0</v>
      </c>
      <c r="Q106" s="77" t="str">
        <f t="shared" si="81"/>
        <v/>
      </c>
      <c r="R106" s="69" t="str">
        <f t="shared" si="82"/>
        <v/>
      </c>
      <c r="S106" s="29">
        <f>SUM(S107:S117)</f>
        <v>0</v>
      </c>
      <c r="T106" s="77" t="str">
        <f t="shared" si="83"/>
        <v/>
      </c>
      <c r="U106" s="69" t="str">
        <f t="shared" si="84"/>
        <v/>
      </c>
      <c r="V106" s="29">
        <f>SUM(V107:V117)</f>
        <v>0</v>
      </c>
      <c r="W106" s="77" t="str">
        <f t="shared" si="85"/>
        <v/>
      </c>
      <c r="X106" s="69" t="str">
        <f t="shared" si="86"/>
        <v/>
      </c>
      <c r="Y106" s="29">
        <f>SUM(Y107:Y117)</f>
        <v>0</v>
      </c>
      <c r="Z106" s="77" t="str">
        <f t="shared" si="87"/>
        <v/>
      </c>
      <c r="AA106" s="69" t="str">
        <f t="shared" si="88"/>
        <v/>
      </c>
      <c r="AB106" s="29">
        <f>SUM(AB107:AB117)</f>
        <v>0</v>
      </c>
      <c r="AC106" s="77" t="str">
        <f t="shared" si="89"/>
        <v/>
      </c>
      <c r="AD106" s="69" t="str">
        <f t="shared" si="90"/>
        <v/>
      </c>
      <c r="AE106" s="29">
        <f>SUM(AE107:AE117)</f>
        <v>0</v>
      </c>
      <c r="AF106" s="77" t="str">
        <f t="shared" si="91"/>
        <v/>
      </c>
      <c r="AG106" s="69" t="str">
        <f t="shared" si="92"/>
        <v/>
      </c>
      <c r="AH106" s="29">
        <f>SUM(AH107:AH117)</f>
        <v>0</v>
      </c>
      <c r="AI106" s="77" t="str">
        <f t="shared" si="93"/>
        <v/>
      </c>
      <c r="AJ106" s="69" t="str">
        <f t="shared" si="94"/>
        <v/>
      </c>
      <c r="AK106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6" s="77" t="str">
        <f t="shared" si="95"/>
        <v/>
      </c>
      <c r="AM106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07" spans="1:39" outlineLevel="1" x14ac:dyDescent="0.25">
      <c r="A107" s="73" t="s">
        <v>231</v>
      </c>
      <c r="B107" s="31"/>
      <c r="C107" s="78" t="str">
        <f t="shared" si="72"/>
        <v/>
      </c>
      <c r="D107" s="31"/>
      <c r="E107" s="78" t="str">
        <f t="shared" si="73"/>
        <v/>
      </c>
      <c r="F107" s="69" t="str">
        <f t="shared" si="74"/>
        <v/>
      </c>
      <c r="G107" s="31"/>
      <c r="H107" s="78" t="str">
        <f t="shared" si="75"/>
        <v/>
      </c>
      <c r="I107" s="69" t="str">
        <f t="shared" si="76"/>
        <v/>
      </c>
      <c r="J107" s="31"/>
      <c r="K107" s="78" t="str">
        <f t="shared" si="77"/>
        <v/>
      </c>
      <c r="L107" s="69" t="str">
        <f t="shared" si="78"/>
        <v/>
      </c>
      <c r="M107" s="31"/>
      <c r="N107" s="78" t="str">
        <f t="shared" si="79"/>
        <v/>
      </c>
      <c r="O107" s="69" t="str">
        <f t="shared" si="80"/>
        <v/>
      </c>
      <c r="P107" s="31"/>
      <c r="Q107" s="78" t="str">
        <f t="shared" si="81"/>
        <v/>
      </c>
      <c r="R107" s="69" t="str">
        <f t="shared" si="82"/>
        <v/>
      </c>
      <c r="S107" s="31"/>
      <c r="T107" s="78" t="str">
        <f t="shared" si="83"/>
        <v/>
      </c>
      <c r="U107" s="69" t="str">
        <f t="shared" si="84"/>
        <v/>
      </c>
      <c r="V107" s="31"/>
      <c r="W107" s="78" t="str">
        <f t="shared" si="85"/>
        <v/>
      </c>
      <c r="X107" s="69" t="str">
        <f t="shared" si="86"/>
        <v/>
      </c>
      <c r="Y107" s="31"/>
      <c r="Z107" s="78" t="str">
        <f t="shared" si="87"/>
        <v/>
      </c>
      <c r="AA107" s="69" t="str">
        <f t="shared" si="88"/>
        <v/>
      </c>
      <c r="AB107" s="31"/>
      <c r="AC107" s="78" t="str">
        <f t="shared" si="89"/>
        <v/>
      </c>
      <c r="AD107" s="69" t="str">
        <f t="shared" si="90"/>
        <v/>
      </c>
      <c r="AE107" s="31"/>
      <c r="AF107" s="78" t="str">
        <f t="shared" si="91"/>
        <v/>
      </c>
      <c r="AG107" s="69" t="str">
        <f t="shared" si="92"/>
        <v/>
      </c>
      <c r="AH107" s="31"/>
      <c r="AI107" s="78" t="str">
        <f t="shared" si="93"/>
        <v/>
      </c>
      <c r="AJ107" s="69" t="str">
        <f t="shared" si="94"/>
        <v/>
      </c>
      <c r="AK10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7" s="78" t="str">
        <f t="shared" si="95"/>
        <v/>
      </c>
      <c r="AM10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08" spans="1:39" outlineLevel="1" x14ac:dyDescent="0.25">
      <c r="A108" s="73" t="s">
        <v>232</v>
      </c>
      <c r="B108" s="31"/>
      <c r="C108" s="78" t="str">
        <f t="shared" si="72"/>
        <v/>
      </c>
      <c r="D108" s="31"/>
      <c r="E108" s="78" t="str">
        <f t="shared" si="73"/>
        <v/>
      </c>
      <c r="F108" s="69" t="str">
        <f t="shared" si="74"/>
        <v/>
      </c>
      <c r="G108" s="31"/>
      <c r="H108" s="78" t="str">
        <f t="shared" si="75"/>
        <v/>
      </c>
      <c r="I108" s="69" t="str">
        <f t="shared" si="76"/>
        <v/>
      </c>
      <c r="J108" s="31"/>
      <c r="K108" s="78" t="str">
        <f t="shared" si="77"/>
        <v/>
      </c>
      <c r="L108" s="69" t="str">
        <f t="shared" si="78"/>
        <v/>
      </c>
      <c r="M108" s="31"/>
      <c r="N108" s="78" t="str">
        <f t="shared" si="79"/>
        <v/>
      </c>
      <c r="O108" s="69" t="str">
        <f t="shared" si="80"/>
        <v/>
      </c>
      <c r="P108" s="31"/>
      <c r="Q108" s="78" t="str">
        <f t="shared" si="81"/>
        <v/>
      </c>
      <c r="R108" s="69" t="str">
        <f t="shared" si="82"/>
        <v/>
      </c>
      <c r="S108" s="31"/>
      <c r="T108" s="78" t="str">
        <f t="shared" si="83"/>
        <v/>
      </c>
      <c r="U108" s="69" t="str">
        <f t="shared" si="84"/>
        <v/>
      </c>
      <c r="V108" s="31"/>
      <c r="W108" s="78" t="str">
        <f t="shared" si="85"/>
        <v/>
      </c>
      <c r="X108" s="69" t="str">
        <f t="shared" si="86"/>
        <v/>
      </c>
      <c r="Y108" s="31"/>
      <c r="Z108" s="78" t="str">
        <f t="shared" si="87"/>
        <v/>
      </c>
      <c r="AA108" s="69" t="str">
        <f t="shared" si="88"/>
        <v/>
      </c>
      <c r="AB108" s="31"/>
      <c r="AC108" s="78" t="str">
        <f t="shared" si="89"/>
        <v/>
      </c>
      <c r="AD108" s="69" t="str">
        <f t="shared" si="90"/>
        <v/>
      </c>
      <c r="AE108" s="31"/>
      <c r="AF108" s="78" t="str">
        <f t="shared" si="91"/>
        <v/>
      </c>
      <c r="AG108" s="69" t="str">
        <f t="shared" si="92"/>
        <v/>
      </c>
      <c r="AH108" s="31"/>
      <c r="AI108" s="78" t="str">
        <f t="shared" si="93"/>
        <v/>
      </c>
      <c r="AJ108" s="69" t="str">
        <f t="shared" si="94"/>
        <v/>
      </c>
      <c r="AK10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8" s="78" t="str">
        <f t="shared" si="95"/>
        <v/>
      </c>
      <c r="AM10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09" spans="1:39" outlineLevel="1" x14ac:dyDescent="0.25">
      <c r="A109" s="73" t="s">
        <v>233</v>
      </c>
      <c r="B109" s="31"/>
      <c r="C109" s="78" t="str">
        <f t="shared" si="72"/>
        <v/>
      </c>
      <c r="D109" s="31"/>
      <c r="E109" s="78" t="str">
        <f t="shared" si="73"/>
        <v/>
      </c>
      <c r="F109" s="69" t="str">
        <f t="shared" si="74"/>
        <v/>
      </c>
      <c r="G109" s="31"/>
      <c r="H109" s="78" t="str">
        <f t="shared" si="75"/>
        <v/>
      </c>
      <c r="I109" s="69" t="str">
        <f t="shared" si="76"/>
        <v/>
      </c>
      <c r="J109" s="31"/>
      <c r="K109" s="78" t="str">
        <f t="shared" si="77"/>
        <v/>
      </c>
      <c r="L109" s="69" t="str">
        <f t="shared" si="78"/>
        <v/>
      </c>
      <c r="M109" s="31"/>
      <c r="N109" s="78" t="str">
        <f t="shared" si="79"/>
        <v/>
      </c>
      <c r="O109" s="69" t="str">
        <f t="shared" si="80"/>
        <v/>
      </c>
      <c r="P109" s="31"/>
      <c r="Q109" s="78" t="str">
        <f t="shared" si="81"/>
        <v/>
      </c>
      <c r="R109" s="69" t="str">
        <f t="shared" si="82"/>
        <v/>
      </c>
      <c r="S109" s="31"/>
      <c r="T109" s="78" t="str">
        <f t="shared" si="83"/>
        <v/>
      </c>
      <c r="U109" s="69" t="str">
        <f t="shared" si="84"/>
        <v/>
      </c>
      <c r="V109" s="31"/>
      <c r="W109" s="78" t="str">
        <f t="shared" si="85"/>
        <v/>
      </c>
      <c r="X109" s="69" t="str">
        <f t="shared" si="86"/>
        <v/>
      </c>
      <c r="Y109" s="31"/>
      <c r="Z109" s="78" t="str">
        <f t="shared" si="87"/>
        <v/>
      </c>
      <c r="AA109" s="69" t="str">
        <f t="shared" si="88"/>
        <v/>
      </c>
      <c r="AB109" s="31"/>
      <c r="AC109" s="78" t="str">
        <f t="shared" si="89"/>
        <v/>
      </c>
      <c r="AD109" s="69" t="str">
        <f t="shared" si="90"/>
        <v/>
      </c>
      <c r="AE109" s="31"/>
      <c r="AF109" s="78" t="str">
        <f t="shared" si="91"/>
        <v/>
      </c>
      <c r="AG109" s="69" t="str">
        <f t="shared" si="92"/>
        <v/>
      </c>
      <c r="AH109" s="31"/>
      <c r="AI109" s="78" t="str">
        <f t="shared" si="93"/>
        <v/>
      </c>
      <c r="AJ109" s="69" t="str">
        <f t="shared" si="94"/>
        <v/>
      </c>
      <c r="AK10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09" s="78" t="str">
        <f t="shared" si="95"/>
        <v/>
      </c>
      <c r="AM10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0" spans="1:39" outlineLevel="1" x14ac:dyDescent="0.25">
      <c r="A110" s="73" t="s">
        <v>234</v>
      </c>
      <c r="B110" s="31"/>
      <c r="C110" s="78" t="str">
        <f t="shared" si="72"/>
        <v/>
      </c>
      <c r="D110" s="31"/>
      <c r="E110" s="78" t="str">
        <f t="shared" si="73"/>
        <v/>
      </c>
      <c r="F110" s="69" t="str">
        <f t="shared" si="74"/>
        <v/>
      </c>
      <c r="G110" s="31"/>
      <c r="H110" s="78" t="str">
        <f t="shared" si="75"/>
        <v/>
      </c>
      <c r="I110" s="69" t="str">
        <f t="shared" si="76"/>
        <v/>
      </c>
      <c r="J110" s="31"/>
      <c r="K110" s="78" t="str">
        <f t="shared" si="77"/>
        <v/>
      </c>
      <c r="L110" s="69" t="str">
        <f t="shared" si="78"/>
        <v/>
      </c>
      <c r="M110" s="31"/>
      <c r="N110" s="78" t="str">
        <f t="shared" si="79"/>
        <v/>
      </c>
      <c r="O110" s="69" t="str">
        <f t="shared" si="80"/>
        <v/>
      </c>
      <c r="P110" s="31"/>
      <c r="Q110" s="78" t="str">
        <f t="shared" si="81"/>
        <v/>
      </c>
      <c r="R110" s="69" t="str">
        <f t="shared" si="82"/>
        <v/>
      </c>
      <c r="S110" s="31"/>
      <c r="T110" s="78" t="str">
        <f t="shared" si="83"/>
        <v/>
      </c>
      <c r="U110" s="69" t="str">
        <f t="shared" si="84"/>
        <v/>
      </c>
      <c r="V110" s="31"/>
      <c r="W110" s="78" t="str">
        <f t="shared" si="85"/>
        <v/>
      </c>
      <c r="X110" s="69" t="str">
        <f t="shared" si="86"/>
        <v/>
      </c>
      <c r="Y110" s="31"/>
      <c r="Z110" s="78" t="str">
        <f t="shared" si="87"/>
        <v/>
      </c>
      <c r="AA110" s="69" t="str">
        <f t="shared" si="88"/>
        <v/>
      </c>
      <c r="AB110" s="31"/>
      <c r="AC110" s="78" t="str">
        <f t="shared" si="89"/>
        <v/>
      </c>
      <c r="AD110" s="69" t="str">
        <f t="shared" si="90"/>
        <v/>
      </c>
      <c r="AE110" s="31"/>
      <c r="AF110" s="78" t="str">
        <f t="shared" si="91"/>
        <v/>
      </c>
      <c r="AG110" s="69" t="str">
        <f t="shared" si="92"/>
        <v/>
      </c>
      <c r="AH110" s="31"/>
      <c r="AI110" s="78" t="str">
        <f t="shared" si="93"/>
        <v/>
      </c>
      <c r="AJ110" s="69" t="str">
        <f t="shared" si="94"/>
        <v/>
      </c>
      <c r="AK11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0" s="78" t="str">
        <f t="shared" si="95"/>
        <v/>
      </c>
      <c r="AM11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1" spans="1:39" outlineLevel="1" x14ac:dyDescent="0.25">
      <c r="A111" s="73" t="s">
        <v>235</v>
      </c>
      <c r="B111" s="31"/>
      <c r="C111" s="78" t="str">
        <f t="shared" si="72"/>
        <v/>
      </c>
      <c r="D111" s="31"/>
      <c r="E111" s="78" t="str">
        <f t="shared" si="73"/>
        <v/>
      </c>
      <c r="F111" s="69" t="str">
        <f t="shared" si="74"/>
        <v/>
      </c>
      <c r="G111" s="31"/>
      <c r="H111" s="78" t="str">
        <f t="shared" si="75"/>
        <v/>
      </c>
      <c r="I111" s="69" t="str">
        <f t="shared" si="76"/>
        <v/>
      </c>
      <c r="J111" s="31"/>
      <c r="K111" s="78" t="str">
        <f t="shared" si="77"/>
        <v/>
      </c>
      <c r="L111" s="69" t="str">
        <f t="shared" si="78"/>
        <v/>
      </c>
      <c r="M111" s="31"/>
      <c r="N111" s="78" t="str">
        <f t="shared" si="79"/>
        <v/>
      </c>
      <c r="O111" s="69" t="str">
        <f t="shared" si="80"/>
        <v/>
      </c>
      <c r="P111" s="31"/>
      <c r="Q111" s="78" t="str">
        <f t="shared" si="81"/>
        <v/>
      </c>
      <c r="R111" s="69" t="str">
        <f t="shared" si="82"/>
        <v/>
      </c>
      <c r="S111" s="31"/>
      <c r="T111" s="78" t="str">
        <f t="shared" si="83"/>
        <v/>
      </c>
      <c r="U111" s="69" t="str">
        <f t="shared" si="84"/>
        <v/>
      </c>
      <c r="V111" s="31"/>
      <c r="W111" s="78" t="str">
        <f t="shared" si="85"/>
        <v/>
      </c>
      <c r="X111" s="69" t="str">
        <f t="shared" si="86"/>
        <v/>
      </c>
      <c r="Y111" s="31"/>
      <c r="Z111" s="78" t="str">
        <f t="shared" si="87"/>
        <v/>
      </c>
      <c r="AA111" s="69" t="str">
        <f t="shared" si="88"/>
        <v/>
      </c>
      <c r="AB111" s="31"/>
      <c r="AC111" s="78" t="str">
        <f t="shared" si="89"/>
        <v/>
      </c>
      <c r="AD111" s="69" t="str">
        <f t="shared" si="90"/>
        <v/>
      </c>
      <c r="AE111" s="31"/>
      <c r="AF111" s="78" t="str">
        <f t="shared" si="91"/>
        <v/>
      </c>
      <c r="AG111" s="69" t="str">
        <f t="shared" si="92"/>
        <v/>
      </c>
      <c r="AH111" s="31"/>
      <c r="AI111" s="78" t="str">
        <f t="shared" si="93"/>
        <v/>
      </c>
      <c r="AJ111" s="69" t="str">
        <f t="shared" si="94"/>
        <v/>
      </c>
      <c r="AK11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1" s="78" t="str">
        <f t="shared" si="95"/>
        <v/>
      </c>
      <c r="AM11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2" spans="1:39" outlineLevel="1" x14ac:dyDescent="0.25">
      <c r="A112" s="73" t="s">
        <v>236</v>
      </c>
      <c r="B112" s="31"/>
      <c r="C112" s="78" t="str">
        <f t="shared" si="72"/>
        <v/>
      </c>
      <c r="D112" s="31"/>
      <c r="E112" s="78" t="str">
        <f t="shared" si="73"/>
        <v/>
      </c>
      <c r="F112" s="69" t="str">
        <f t="shared" si="74"/>
        <v/>
      </c>
      <c r="G112" s="31"/>
      <c r="H112" s="78" t="str">
        <f t="shared" si="75"/>
        <v/>
      </c>
      <c r="I112" s="69" t="str">
        <f t="shared" si="76"/>
        <v/>
      </c>
      <c r="J112" s="31"/>
      <c r="K112" s="78" t="str">
        <f t="shared" si="77"/>
        <v/>
      </c>
      <c r="L112" s="69" t="str">
        <f t="shared" si="78"/>
        <v/>
      </c>
      <c r="M112" s="31"/>
      <c r="N112" s="78" t="str">
        <f t="shared" si="79"/>
        <v/>
      </c>
      <c r="O112" s="69" t="str">
        <f t="shared" si="80"/>
        <v/>
      </c>
      <c r="P112" s="31"/>
      <c r="Q112" s="78" t="str">
        <f t="shared" si="81"/>
        <v/>
      </c>
      <c r="R112" s="69" t="str">
        <f t="shared" si="82"/>
        <v/>
      </c>
      <c r="S112" s="31"/>
      <c r="T112" s="78" t="str">
        <f t="shared" si="83"/>
        <v/>
      </c>
      <c r="U112" s="69" t="str">
        <f t="shared" si="84"/>
        <v/>
      </c>
      <c r="V112" s="31"/>
      <c r="W112" s="78" t="str">
        <f t="shared" si="85"/>
        <v/>
      </c>
      <c r="X112" s="69" t="str">
        <f t="shared" si="86"/>
        <v/>
      </c>
      <c r="Y112" s="31"/>
      <c r="Z112" s="78" t="str">
        <f t="shared" si="87"/>
        <v/>
      </c>
      <c r="AA112" s="69" t="str">
        <f t="shared" si="88"/>
        <v/>
      </c>
      <c r="AB112" s="31"/>
      <c r="AC112" s="78" t="str">
        <f t="shared" si="89"/>
        <v/>
      </c>
      <c r="AD112" s="69" t="str">
        <f t="shared" si="90"/>
        <v/>
      </c>
      <c r="AE112" s="31"/>
      <c r="AF112" s="78" t="str">
        <f t="shared" si="91"/>
        <v/>
      </c>
      <c r="AG112" s="69" t="str">
        <f t="shared" si="92"/>
        <v/>
      </c>
      <c r="AH112" s="31"/>
      <c r="AI112" s="78" t="str">
        <f t="shared" si="93"/>
        <v/>
      </c>
      <c r="AJ112" s="69" t="str">
        <f t="shared" si="94"/>
        <v/>
      </c>
      <c r="AK11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2" s="78" t="str">
        <f t="shared" si="95"/>
        <v/>
      </c>
      <c r="AM11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3" spans="1:39" outlineLevel="1" x14ac:dyDescent="0.25">
      <c r="A113" s="73" t="s">
        <v>237</v>
      </c>
      <c r="B113" s="31"/>
      <c r="C113" s="78" t="str">
        <f t="shared" si="72"/>
        <v/>
      </c>
      <c r="D113" s="31"/>
      <c r="E113" s="78" t="str">
        <f t="shared" si="73"/>
        <v/>
      </c>
      <c r="F113" s="69" t="str">
        <f t="shared" si="74"/>
        <v/>
      </c>
      <c r="G113" s="31"/>
      <c r="H113" s="78" t="str">
        <f t="shared" si="75"/>
        <v/>
      </c>
      <c r="I113" s="69" t="str">
        <f t="shared" si="76"/>
        <v/>
      </c>
      <c r="J113" s="31"/>
      <c r="K113" s="78" t="str">
        <f t="shared" si="77"/>
        <v/>
      </c>
      <c r="L113" s="69" t="str">
        <f t="shared" si="78"/>
        <v/>
      </c>
      <c r="M113" s="31"/>
      <c r="N113" s="78" t="str">
        <f t="shared" si="79"/>
        <v/>
      </c>
      <c r="O113" s="69" t="str">
        <f t="shared" si="80"/>
        <v/>
      </c>
      <c r="P113" s="31"/>
      <c r="Q113" s="78" t="str">
        <f t="shared" si="81"/>
        <v/>
      </c>
      <c r="R113" s="69" t="str">
        <f t="shared" si="82"/>
        <v/>
      </c>
      <c r="S113" s="31"/>
      <c r="T113" s="78" t="str">
        <f t="shared" si="83"/>
        <v/>
      </c>
      <c r="U113" s="69" t="str">
        <f t="shared" si="84"/>
        <v/>
      </c>
      <c r="V113" s="31"/>
      <c r="W113" s="78" t="str">
        <f t="shared" si="85"/>
        <v/>
      </c>
      <c r="X113" s="69" t="str">
        <f t="shared" si="86"/>
        <v/>
      </c>
      <c r="Y113" s="31"/>
      <c r="Z113" s="78" t="str">
        <f t="shared" si="87"/>
        <v/>
      </c>
      <c r="AA113" s="69" t="str">
        <f t="shared" si="88"/>
        <v/>
      </c>
      <c r="AB113" s="31"/>
      <c r="AC113" s="78" t="str">
        <f t="shared" si="89"/>
        <v/>
      </c>
      <c r="AD113" s="69" t="str">
        <f t="shared" si="90"/>
        <v/>
      </c>
      <c r="AE113" s="31"/>
      <c r="AF113" s="78" t="str">
        <f t="shared" si="91"/>
        <v/>
      </c>
      <c r="AG113" s="69" t="str">
        <f t="shared" si="92"/>
        <v/>
      </c>
      <c r="AH113" s="31"/>
      <c r="AI113" s="78" t="str">
        <f t="shared" si="93"/>
        <v/>
      </c>
      <c r="AJ113" s="69" t="str">
        <f t="shared" si="94"/>
        <v/>
      </c>
      <c r="AK11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3" s="78" t="str">
        <f t="shared" si="95"/>
        <v/>
      </c>
      <c r="AM11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4" spans="1:39" outlineLevel="1" x14ac:dyDescent="0.25">
      <c r="A114" s="73" t="s">
        <v>238</v>
      </c>
      <c r="B114" s="31"/>
      <c r="C114" s="78" t="str">
        <f t="shared" si="72"/>
        <v/>
      </c>
      <c r="D114" s="31"/>
      <c r="E114" s="78" t="str">
        <f t="shared" si="73"/>
        <v/>
      </c>
      <c r="F114" s="69" t="str">
        <f t="shared" si="74"/>
        <v/>
      </c>
      <c r="G114" s="31"/>
      <c r="H114" s="78" t="str">
        <f t="shared" si="75"/>
        <v/>
      </c>
      <c r="I114" s="69" t="str">
        <f t="shared" si="76"/>
        <v/>
      </c>
      <c r="J114" s="31"/>
      <c r="K114" s="78" t="str">
        <f t="shared" si="77"/>
        <v/>
      </c>
      <c r="L114" s="69" t="str">
        <f t="shared" si="78"/>
        <v/>
      </c>
      <c r="M114" s="31"/>
      <c r="N114" s="78" t="str">
        <f t="shared" si="79"/>
        <v/>
      </c>
      <c r="O114" s="69" t="str">
        <f t="shared" si="80"/>
        <v/>
      </c>
      <c r="P114" s="31"/>
      <c r="Q114" s="78" t="str">
        <f t="shared" si="81"/>
        <v/>
      </c>
      <c r="R114" s="69" t="str">
        <f t="shared" si="82"/>
        <v/>
      </c>
      <c r="S114" s="31"/>
      <c r="T114" s="78" t="str">
        <f t="shared" si="83"/>
        <v/>
      </c>
      <c r="U114" s="69" t="str">
        <f t="shared" si="84"/>
        <v/>
      </c>
      <c r="V114" s="31"/>
      <c r="W114" s="78" t="str">
        <f t="shared" si="85"/>
        <v/>
      </c>
      <c r="X114" s="69" t="str">
        <f t="shared" si="86"/>
        <v/>
      </c>
      <c r="Y114" s="31"/>
      <c r="Z114" s="78" t="str">
        <f t="shared" si="87"/>
        <v/>
      </c>
      <c r="AA114" s="69" t="str">
        <f t="shared" si="88"/>
        <v/>
      </c>
      <c r="AB114" s="31"/>
      <c r="AC114" s="78" t="str">
        <f t="shared" si="89"/>
        <v/>
      </c>
      <c r="AD114" s="69" t="str">
        <f t="shared" si="90"/>
        <v/>
      </c>
      <c r="AE114" s="31"/>
      <c r="AF114" s="78" t="str">
        <f t="shared" si="91"/>
        <v/>
      </c>
      <c r="AG114" s="69" t="str">
        <f t="shared" si="92"/>
        <v/>
      </c>
      <c r="AH114" s="31"/>
      <c r="AI114" s="78" t="str">
        <f t="shared" si="93"/>
        <v/>
      </c>
      <c r="AJ114" s="69" t="str">
        <f t="shared" si="94"/>
        <v/>
      </c>
      <c r="AK11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4" s="78" t="str">
        <f t="shared" si="95"/>
        <v/>
      </c>
      <c r="AM11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5" spans="1:39" outlineLevel="1" x14ac:dyDescent="0.25">
      <c r="A115" s="73" t="s">
        <v>239</v>
      </c>
      <c r="B115" s="31"/>
      <c r="C115" s="78" t="str">
        <f t="shared" si="72"/>
        <v/>
      </c>
      <c r="D115" s="31"/>
      <c r="E115" s="78" t="str">
        <f t="shared" si="73"/>
        <v/>
      </c>
      <c r="F115" s="69" t="str">
        <f t="shared" si="74"/>
        <v/>
      </c>
      <c r="G115" s="31"/>
      <c r="H115" s="78" t="str">
        <f t="shared" si="75"/>
        <v/>
      </c>
      <c r="I115" s="69" t="str">
        <f t="shared" si="76"/>
        <v/>
      </c>
      <c r="J115" s="31"/>
      <c r="K115" s="78" t="str">
        <f t="shared" si="77"/>
        <v/>
      </c>
      <c r="L115" s="69" t="str">
        <f t="shared" si="78"/>
        <v/>
      </c>
      <c r="M115" s="31"/>
      <c r="N115" s="78" t="str">
        <f t="shared" si="79"/>
        <v/>
      </c>
      <c r="O115" s="69" t="str">
        <f t="shared" si="80"/>
        <v/>
      </c>
      <c r="P115" s="31"/>
      <c r="Q115" s="78" t="str">
        <f t="shared" si="81"/>
        <v/>
      </c>
      <c r="R115" s="69" t="str">
        <f t="shared" si="82"/>
        <v/>
      </c>
      <c r="S115" s="31"/>
      <c r="T115" s="78" t="str">
        <f t="shared" si="83"/>
        <v/>
      </c>
      <c r="U115" s="69" t="str">
        <f t="shared" si="84"/>
        <v/>
      </c>
      <c r="V115" s="31"/>
      <c r="W115" s="78" t="str">
        <f t="shared" si="85"/>
        <v/>
      </c>
      <c r="X115" s="69" t="str">
        <f t="shared" si="86"/>
        <v/>
      </c>
      <c r="Y115" s="31"/>
      <c r="Z115" s="78" t="str">
        <f t="shared" si="87"/>
        <v/>
      </c>
      <c r="AA115" s="69" t="str">
        <f t="shared" si="88"/>
        <v/>
      </c>
      <c r="AB115" s="31"/>
      <c r="AC115" s="78" t="str">
        <f t="shared" si="89"/>
        <v/>
      </c>
      <c r="AD115" s="69" t="str">
        <f t="shared" si="90"/>
        <v/>
      </c>
      <c r="AE115" s="31"/>
      <c r="AF115" s="78" t="str">
        <f t="shared" si="91"/>
        <v/>
      </c>
      <c r="AG115" s="69" t="str">
        <f t="shared" si="92"/>
        <v/>
      </c>
      <c r="AH115" s="31"/>
      <c r="AI115" s="78" t="str">
        <f t="shared" si="93"/>
        <v/>
      </c>
      <c r="AJ115" s="69" t="str">
        <f t="shared" si="94"/>
        <v/>
      </c>
      <c r="AK11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5" s="78" t="str">
        <f t="shared" si="95"/>
        <v/>
      </c>
      <c r="AM11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6" spans="1:39" outlineLevel="1" x14ac:dyDescent="0.25">
      <c r="A116" s="73" t="s">
        <v>240</v>
      </c>
      <c r="B116" s="31"/>
      <c r="C116" s="78" t="str">
        <f t="shared" si="72"/>
        <v/>
      </c>
      <c r="D116" s="31"/>
      <c r="E116" s="78" t="str">
        <f t="shared" si="73"/>
        <v/>
      </c>
      <c r="F116" s="69" t="str">
        <f t="shared" si="74"/>
        <v/>
      </c>
      <c r="G116" s="31"/>
      <c r="H116" s="78" t="str">
        <f t="shared" si="75"/>
        <v/>
      </c>
      <c r="I116" s="69" t="str">
        <f t="shared" si="76"/>
        <v/>
      </c>
      <c r="J116" s="31"/>
      <c r="K116" s="78" t="str">
        <f t="shared" si="77"/>
        <v/>
      </c>
      <c r="L116" s="69" t="str">
        <f t="shared" si="78"/>
        <v/>
      </c>
      <c r="M116" s="31"/>
      <c r="N116" s="78" t="str">
        <f t="shared" si="79"/>
        <v/>
      </c>
      <c r="O116" s="69" t="str">
        <f t="shared" si="80"/>
        <v/>
      </c>
      <c r="P116" s="31"/>
      <c r="Q116" s="78" t="str">
        <f t="shared" si="81"/>
        <v/>
      </c>
      <c r="R116" s="69" t="str">
        <f t="shared" si="82"/>
        <v/>
      </c>
      <c r="S116" s="31"/>
      <c r="T116" s="78" t="str">
        <f t="shared" si="83"/>
        <v/>
      </c>
      <c r="U116" s="69" t="str">
        <f t="shared" si="84"/>
        <v/>
      </c>
      <c r="V116" s="31"/>
      <c r="W116" s="78" t="str">
        <f t="shared" si="85"/>
        <v/>
      </c>
      <c r="X116" s="69" t="str">
        <f t="shared" si="86"/>
        <v/>
      </c>
      <c r="Y116" s="31"/>
      <c r="Z116" s="78" t="str">
        <f t="shared" si="87"/>
        <v/>
      </c>
      <c r="AA116" s="69" t="str">
        <f t="shared" si="88"/>
        <v/>
      </c>
      <c r="AB116" s="31"/>
      <c r="AC116" s="78" t="str">
        <f t="shared" si="89"/>
        <v/>
      </c>
      <c r="AD116" s="69" t="str">
        <f t="shared" si="90"/>
        <v/>
      </c>
      <c r="AE116" s="31"/>
      <c r="AF116" s="78" t="str">
        <f t="shared" si="91"/>
        <v/>
      </c>
      <c r="AG116" s="69" t="str">
        <f t="shared" si="92"/>
        <v/>
      </c>
      <c r="AH116" s="31"/>
      <c r="AI116" s="78" t="str">
        <f t="shared" si="93"/>
        <v/>
      </c>
      <c r="AJ116" s="69" t="str">
        <f t="shared" si="94"/>
        <v/>
      </c>
      <c r="AK11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6" s="78" t="str">
        <f t="shared" si="95"/>
        <v/>
      </c>
      <c r="AM11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7" spans="1:39" outlineLevel="1" x14ac:dyDescent="0.25">
      <c r="A117" s="30"/>
      <c r="B117" s="31"/>
      <c r="C117" s="78" t="str">
        <f t="shared" si="72"/>
        <v/>
      </c>
      <c r="D117" s="31"/>
      <c r="E117" s="78" t="str">
        <f t="shared" si="73"/>
        <v/>
      </c>
      <c r="F117" s="69" t="str">
        <f t="shared" si="74"/>
        <v/>
      </c>
      <c r="G117" s="31"/>
      <c r="H117" s="78" t="str">
        <f t="shared" si="75"/>
        <v/>
      </c>
      <c r="I117" s="69" t="str">
        <f t="shared" si="76"/>
        <v/>
      </c>
      <c r="J117" s="31"/>
      <c r="K117" s="78" t="str">
        <f t="shared" si="77"/>
        <v/>
      </c>
      <c r="L117" s="69" t="str">
        <f t="shared" si="78"/>
        <v/>
      </c>
      <c r="M117" s="31"/>
      <c r="N117" s="78" t="str">
        <f t="shared" si="79"/>
        <v/>
      </c>
      <c r="O117" s="69" t="str">
        <f t="shared" si="80"/>
        <v/>
      </c>
      <c r="P117" s="31"/>
      <c r="Q117" s="78" t="str">
        <f t="shared" si="81"/>
        <v/>
      </c>
      <c r="R117" s="69" t="str">
        <f t="shared" si="82"/>
        <v/>
      </c>
      <c r="S117" s="31"/>
      <c r="T117" s="78" t="str">
        <f t="shared" si="83"/>
        <v/>
      </c>
      <c r="U117" s="69" t="str">
        <f t="shared" si="84"/>
        <v/>
      </c>
      <c r="V117" s="31"/>
      <c r="W117" s="78" t="str">
        <f t="shared" si="85"/>
        <v/>
      </c>
      <c r="X117" s="69" t="str">
        <f t="shared" si="86"/>
        <v/>
      </c>
      <c r="Y117" s="31"/>
      <c r="Z117" s="78" t="str">
        <f t="shared" si="87"/>
        <v/>
      </c>
      <c r="AA117" s="69" t="str">
        <f t="shared" si="88"/>
        <v/>
      </c>
      <c r="AB117" s="31"/>
      <c r="AC117" s="78" t="str">
        <f t="shared" si="89"/>
        <v/>
      </c>
      <c r="AD117" s="69" t="str">
        <f t="shared" si="90"/>
        <v/>
      </c>
      <c r="AE117" s="31"/>
      <c r="AF117" s="78" t="str">
        <f t="shared" si="91"/>
        <v/>
      </c>
      <c r="AG117" s="69" t="str">
        <f t="shared" si="92"/>
        <v/>
      </c>
      <c r="AH117" s="31"/>
      <c r="AI117" s="78" t="str">
        <f t="shared" si="93"/>
        <v/>
      </c>
      <c r="AJ117" s="69" t="str">
        <f t="shared" si="94"/>
        <v/>
      </c>
      <c r="AK11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7" s="78" t="str">
        <f t="shared" si="95"/>
        <v/>
      </c>
      <c r="AM11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18" spans="1:39" outlineLevel="1" x14ac:dyDescent="0.25">
      <c r="A118" s="28" t="s">
        <v>241</v>
      </c>
      <c r="B118" s="29">
        <f>SUM(B119:B143)</f>
        <v>0</v>
      </c>
      <c r="C118" s="77" t="str">
        <f t="shared" si="72"/>
        <v/>
      </c>
      <c r="D118" s="29">
        <f>SUM(D119:D143)</f>
        <v>0</v>
      </c>
      <c r="E118" s="77" t="str">
        <f t="shared" si="73"/>
        <v/>
      </c>
      <c r="F118" s="69" t="str">
        <f t="shared" si="74"/>
        <v/>
      </c>
      <c r="G118" s="29">
        <f>SUM(G119:G143)</f>
        <v>0</v>
      </c>
      <c r="H118" s="77" t="str">
        <f t="shared" si="75"/>
        <v/>
      </c>
      <c r="I118" s="69" t="str">
        <f t="shared" si="76"/>
        <v/>
      </c>
      <c r="J118" s="29">
        <f>SUM(J119:J143)</f>
        <v>0</v>
      </c>
      <c r="K118" s="77" t="str">
        <f t="shared" si="77"/>
        <v/>
      </c>
      <c r="L118" s="69" t="str">
        <f t="shared" si="78"/>
        <v/>
      </c>
      <c r="M118" s="29">
        <f>SUM(M119:M143)</f>
        <v>0</v>
      </c>
      <c r="N118" s="77" t="str">
        <f t="shared" si="79"/>
        <v/>
      </c>
      <c r="O118" s="69" t="str">
        <f t="shared" si="80"/>
        <v/>
      </c>
      <c r="P118" s="29">
        <f>SUM(P119:P143)</f>
        <v>0</v>
      </c>
      <c r="Q118" s="77" t="str">
        <f t="shared" si="81"/>
        <v/>
      </c>
      <c r="R118" s="69" t="str">
        <f t="shared" si="82"/>
        <v/>
      </c>
      <c r="S118" s="29">
        <f>SUM(S119:S143)</f>
        <v>0</v>
      </c>
      <c r="T118" s="77" t="str">
        <f t="shared" si="83"/>
        <v/>
      </c>
      <c r="U118" s="69" t="str">
        <f t="shared" si="84"/>
        <v/>
      </c>
      <c r="V118" s="29">
        <f>SUM(V119:V143)</f>
        <v>0</v>
      </c>
      <c r="W118" s="77" t="str">
        <f t="shared" si="85"/>
        <v/>
      </c>
      <c r="X118" s="69" t="str">
        <f t="shared" si="86"/>
        <v/>
      </c>
      <c r="Y118" s="29">
        <f>SUM(Y119:Y143)</f>
        <v>0</v>
      </c>
      <c r="Z118" s="77" t="str">
        <f t="shared" si="87"/>
        <v/>
      </c>
      <c r="AA118" s="69" t="str">
        <f t="shared" si="88"/>
        <v/>
      </c>
      <c r="AB118" s="29">
        <f>SUM(AB119:AB143)</f>
        <v>0</v>
      </c>
      <c r="AC118" s="77" t="str">
        <f t="shared" si="89"/>
        <v/>
      </c>
      <c r="AD118" s="69" t="str">
        <f t="shared" si="90"/>
        <v/>
      </c>
      <c r="AE118" s="29">
        <f>SUM(AE119:AE143)</f>
        <v>0</v>
      </c>
      <c r="AF118" s="77" t="str">
        <f t="shared" si="91"/>
        <v/>
      </c>
      <c r="AG118" s="69" t="str">
        <f t="shared" si="92"/>
        <v/>
      </c>
      <c r="AH118" s="29">
        <f>SUM(AH119:AH143)</f>
        <v>0</v>
      </c>
      <c r="AI118" s="77" t="str">
        <f t="shared" si="93"/>
        <v/>
      </c>
      <c r="AJ118" s="69" t="str">
        <f t="shared" si="94"/>
        <v/>
      </c>
      <c r="AK118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8" s="77" t="str">
        <f t="shared" si="95"/>
        <v/>
      </c>
      <c r="AM118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19" spans="1:39" outlineLevel="1" x14ac:dyDescent="0.25">
      <c r="A119" s="73" t="s">
        <v>242</v>
      </c>
      <c r="B119" s="31"/>
      <c r="C119" s="78" t="str">
        <f t="shared" si="72"/>
        <v/>
      </c>
      <c r="D119" s="31"/>
      <c r="E119" s="78" t="str">
        <f t="shared" si="73"/>
        <v/>
      </c>
      <c r="F119" s="69" t="str">
        <f t="shared" si="74"/>
        <v/>
      </c>
      <c r="G119" s="31"/>
      <c r="H119" s="78" t="str">
        <f t="shared" si="75"/>
        <v/>
      </c>
      <c r="I119" s="69" t="str">
        <f t="shared" si="76"/>
        <v/>
      </c>
      <c r="J119" s="31"/>
      <c r="K119" s="78" t="str">
        <f t="shared" si="77"/>
        <v/>
      </c>
      <c r="L119" s="69" t="str">
        <f t="shared" si="78"/>
        <v/>
      </c>
      <c r="M119" s="31"/>
      <c r="N119" s="78" t="str">
        <f t="shared" si="79"/>
        <v/>
      </c>
      <c r="O119" s="69" t="str">
        <f t="shared" si="80"/>
        <v/>
      </c>
      <c r="P119" s="31"/>
      <c r="Q119" s="78" t="str">
        <f t="shared" si="81"/>
        <v/>
      </c>
      <c r="R119" s="69" t="str">
        <f t="shared" si="82"/>
        <v/>
      </c>
      <c r="S119" s="31"/>
      <c r="T119" s="78" t="str">
        <f t="shared" si="83"/>
        <v/>
      </c>
      <c r="U119" s="69" t="str">
        <f t="shared" si="84"/>
        <v/>
      </c>
      <c r="V119" s="31"/>
      <c r="W119" s="78" t="str">
        <f t="shared" si="85"/>
        <v/>
      </c>
      <c r="X119" s="69" t="str">
        <f t="shared" si="86"/>
        <v/>
      </c>
      <c r="Y119" s="31"/>
      <c r="Z119" s="78" t="str">
        <f t="shared" si="87"/>
        <v/>
      </c>
      <c r="AA119" s="69" t="str">
        <f t="shared" si="88"/>
        <v/>
      </c>
      <c r="AB119" s="31"/>
      <c r="AC119" s="78" t="str">
        <f t="shared" si="89"/>
        <v/>
      </c>
      <c r="AD119" s="69" t="str">
        <f t="shared" si="90"/>
        <v/>
      </c>
      <c r="AE119" s="31"/>
      <c r="AF119" s="78" t="str">
        <f t="shared" si="91"/>
        <v/>
      </c>
      <c r="AG119" s="69" t="str">
        <f t="shared" si="92"/>
        <v/>
      </c>
      <c r="AH119" s="31"/>
      <c r="AI119" s="78" t="str">
        <f t="shared" si="93"/>
        <v/>
      </c>
      <c r="AJ119" s="69" t="str">
        <f t="shared" si="94"/>
        <v/>
      </c>
      <c r="AK11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19" s="78" t="str">
        <f t="shared" si="95"/>
        <v/>
      </c>
      <c r="AM11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0" spans="1:39" outlineLevel="1" x14ac:dyDescent="0.25">
      <c r="A120" s="73" t="s">
        <v>243</v>
      </c>
      <c r="B120" s="31"/>
      <c r="C120" s="78" t="str">
        <f t="shared" si="72"/>
        <v/>
      </c>
      <c r="D120" s="31"/>
      <c r="E120" s="78" t="str">
        <f t="shared" si="73"/>
        <v/>
      </c>
      <c r="F120" s="69" t="str">
        <f t="shared" si="74"/>
        <v/>
      </c>
      <c r="G120" s="31"/>
      <c r="H120" s="78" t="str">
        <f t="shared" si="75"/>
        <v/>
      </c>
      <c r="I120" s="69" t="str">
        <f t="shared" si="76"/>
        <v/>
      </c>
      <c r="J120" s="31"/>
      <c r="K120" s="78" t="str">
        <f t="shared" si="77"/>
        <v/>
      </c>
      <c r="L120" s="69" t="str">
        <f t="shared" si="78"/>
        <v/>
      </c>
      <c r="M120" s="31"/>
      <c r="N120" s="78" t="str">
        <f t="shared" si="79"/>
        <v/>
      </c>
      <c r="O120" s="69" t="str">
        <f t="shared" si="80"/>
        <v/>
      </c>
      <c r="P120" s="31"/>
      <c r="Q120" s="78" t="str">
        <f t="shared" si="81"/>
        <v/>
      </c>
      <c r="R120" s="69" t="str">
        <f t="shared" si="82"/>
        <v/>
      </c>
      <c r="S120" s="31"/>
      <c r="T120" s="78" t="str">
        <f t="shared" si="83"/>
        <v/>
      </c>
      <c r="U120" s="69" t="str">
        <f t="shared" si="84"/>
        <v/>
      </c>
      <c r="V120" s="31"/>
      <c r="W120" s="78" t="str">
        <f t="shared" si="85"/>
        <v/>
      </c>
      <c r="X120" s="69" t="str">
        <f t="shared" si="86"/>
        <v/>
      </c>
      <c r="Y120" s="31"/>
      <c r="Z120" s="78" t="str">
        <f t="shared" si="87"/>
        <v/>
      </c>
      <c r="AA120" s="69" t="str">
        <f t="shared" si="88"/>
        <v/>
      </c>
      <c r="AB120" s="31"/>
      <c r="AC120" s="78" t="str">
        <f t="shared" si="89"/>
        <v/>
      </c>
      <c r="AD120" s="69" t="str">
        <f t="shared" si="90"/>
        <v/>
      </c>
      <c r="AE120" s="31"/>
      <c r="AF120" s="78" t="str">
        <f t="shared" si="91"/>
        <v/>
      </c>
      <c r="AG120" s="69" t="str">
        <f t="shared" si="92"/>
        <v/>
      </c>
      <c r="AH120" s="31"/>
      <c r="AI120" s="78" t="str">
        <f t="shared" si="93"/>
        <v/>
      </c>
      <c r="AJ120" s="69" t="str">
        <f t="shared" si="94"/>
        <v/>
      </c>
      <c r="AK12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0" s="78" t="str">
        <f t="shared" si="95"/>
        <v/>
      </c>
      <c r="AM12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1" spans="1:39" outlineLevel="1" x14ac:dyDescent="0.25">
      <c r="A121" s="73" t="s">
        <v>244</v>
      </c>
      <c r="B121" s="31"/>
      <c r="C121" s="78" t="str">
        <f t="shared" si="72"/>
        <v/>
      </c>
      <c r="D121" s="31"/>
      <c r="E121" s="78" t="str">
        <f t="shared" si="73"/>
        <v/>
      </c>
      <c r="F121" s="69" t="str">
        <f t="shared" si="74"/>
        <v/>
      </c>
      <c r="G121" s="31"/>
      <c r="H121" s="78" t="str">
        <f t="shared" si="75"/>
        <v/>
      </c>
      <c r="I121" s="69" t="str">
        <f t="shared" si="76"/>
        <v/>
      </c>
      <c r="J121" s="31"/>
      <c r="K121" s="78" t="str">
        <f t="shared" si="77"/>
        <v/>
      </c>
      <c r="L121" s="69" t="str">
        <f t="shared" si="78"/>
        <v/>
      </c>
      <c r="M121" s="31"/>
      <c r="N121" s="78" t="str">
        <f t="shared" si="79"/>
        <v/>
      </c>
      <c r="O121" s="69" t="str">
        <f t="shared" si="80"/>
        <v/>
      </c>
      <c r="P121" s="31"/>
      <c r="Q121" s="78" t="str">
        <f t="shared" si="81"/>
        <v/>
      </c>
      <c r="R121" s="69" t="str">
        <f t="shared" si="82"/>
        <v/>
      </c>
      <c r="S121" s="31"/>
      <c r="T121" s="78" t="str">
        <f t="shared" si="83"/>
        <v/>
      </c>
      <c r="U121" s="69" t="str">
        <f t="shared" si="84"/>
        <v/>
      </c>
      <c r="V121" s="31"/>
      <c r="W121" s="78" t="str">
        <f t="shared" si="85"/>
        <v/>
      </c>
      <c r="X121" s="69" t="str">
        <f t="shared" si="86"/>
        <v/>
      </c>
      <c r="Y121" s="31"/>
      <c r="Z121" s="78" t="str">
        <f t="shared" si="87"/>
        <v/>
      </c>
      <c r="AA121" s="69" t="str">
        <f t="shared" si="88"/>
        <v/>
      </c>
      <c r="AB121" s="31"/>
      <c r="AC121" s="78" t="str">
        <f t="shared" si="89"/>
        <v/>
      </c>
      <c r="AD121" s="69" t="str">
        <f t="shared" si="90"/>
        <v/>
      </c>
      <c r="AE121" s="31"/>
      <c r="AF121" s="78" t="str">
        <f t="shared" si="91"/>
        <v/>
      </c>
      <c r="AG121" s="69" t="str">
        <f t="shared" si="92"/>
        <v/>
      </c>
      <c r="AH121" s="31"/>
      <c r="AI121" s="78" t="str">
        <f t="shared" si="93"/>
        <v/>
      </c>
      <c r="AJ121" s="69" t="str">
        <f t="shared" si="94"/>
        <v/>
      </c>
      <c r="AK12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1" s="78" t="str">
        <f t="shared" si="95"/>
        <v/>
      </c>
      <c r="AM12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2" spans="1:39" outlineLevel="1" x14ac:dyDescent="0.25">
      <c r="A122" s="73" t="s">
        <v>245</v>
      </c>
      <c r="B122" s="31"/>
      <c r="C122" s="78" t="str">
        <f t="shared" si="72"/>
        <v/>
      </c>
      <c r="D122" s="31"/>
      <c r="E122" s="78" t="str">
        <f t="shared" si="73"/>
        <v/>
      </c>
      <c r="F122" s="69" t="str">
        <f t="shared" si="74"/>
        <v/>
      </c>
      <c r="G122" s="31"/>
      <c r="H122" s="78" t="str">
        <f t="shared" si="75"/>
        <v/>
      </c>
      <c r="I122" s="69" t="str">
        <f t="shared" si="76"/>
        <v/>
      </c>
      <c r="J122" s="31"/>
      <c r="K122" s="78" t="str">
        <f t="shared" si="77"/>
        <v/>
      </c>
      <c r="L122" s="69" t="str">
        <f t="shared" si="78"/>
        <v/>
      </c>
      <c r="M122" s="31"/>
      <c r="N122" s="78" t="str">
        <f t="shared" si="79"/>
        <v/>
      </c>
      <c r="O122" s="69" t="str">
        <f t="shared" si="80"/>
        <v/>
      </c>
      <c r="P122" s="31"/>
      <c r="Q122" s="78" t="str">
        <f t="shared" si="81"/>
        <v/>
      </c>
      <c r="R122" s="69" t="str">
        <f t="shared" si="82"/>
        <v/>
      </c>
      <c r="S122" s="31"/>
      <c r="T122" s="78" t="str">
        <f t="shared" si="83"/>
        <v/>
      </c>
      <c r="U122" s="69" t="str">
        <f t="shared" si="84"/>
        <v/>
      </c>
      <c r="V122" s="31"/>
      <c r="W122" s="78" t="str">
        <f t="shared" si="85"/>
        <v/>
      </c>
      <c r="X122" s="69" t="str">
        <f t="shared" si="86"/>
        <v/>
      </c>
      <c r="Y122" s="31"/>
      <c r="Z122" s="78" t="str">
        <f t="shared" si="87"/>
        <v/>
      </c>
      <c r="AA122" s="69" t="str">
        <f t="shared" si="88"/>
        <v/>
      </c>
      <c r="AB122" s="31"/>
      <c r="AC122" s="78" t="str">
        <f t="shared" si="89"/>
        <v/>
      </c>
      <c r="AD122" s="69" t="str">
        <f t="shared" si="90"/>
        <v/>
      </c>
      <c r="AE122" s="31"/>
      <c r="AF122" s="78" t="str">
        <f t="shared" si="91"/>
        <v/>
      </c>
      <c r="AG122" s="69" t="str">
        <f t="shared" si="92"/>
        <v/>
      </c>
      <c r="AH122" s="31"/>
      <c r="AI122" s="78" t="str">
        <f t="shared" si="93"/>
        <v/>
      </c>
      <c r="AJ122" s="69" t="str">
        <f t="shared" si="94"/>
        <v/>
      </c>
      <c r="AK12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2" s="78" t="str">
        <f t="shared" si="95"/>
        <v/>
      </c>
      <c r="AM12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3" spans="1:39" outlineLevel="1" x14ac:dyDescent="0.25">
      <c r="A123" s="73" t="s">
        <v>246</v>
      </c>
      <c r="B123" s="31"/>
      <c r="C123" s="78" t="str">
        <f t="shared" si="72"/>
        <v/>
      </c>
      <c r="D123" s="31"/>
      <c r="E123" s="78" t="str">
        <f t="shared" si="73"/>
        <v/>
      </c>
      <c r="F123" s="69" t="str">
        <f t="shared" si="74"/>
        <v/>
      </c>
      <c r="G123" s="31"/>
      <c r="H123" s="78" t="str">
        <f t="shared" si="75"/>
        <v/>
      </c>
      <c r="I123" s="69" t="str">
        <f t="shared" si="76"/>
        <v/>
      </c>
      <c r="J123" s="31"/>
      <c r="K123" s="78" t="str">
        <f t="shared" si="77"/>
        <v/>
      </c>
      <c r="L123" s="69" t="str">
        <f t="shared" si="78"/>
        <v/>
      </c>
      <c r="M123" s="31"/>
      <c r="N123" s="78" t="str">
        <f t="shared" si="79"/>
        <v/>
      </c>
      <c r="O123" s="69" t="str">
        <f t="shared" si="80"/>
        <v/>
      </c>
      <c r="P123" s="31"/>
      <c r="Q123" s="78" t="str">
        <f t="shared" si="81"/>
        <v/>
      </c>
      <c r="R123" s="69" t="str">
        <f t="shared" si="82"/>
        <v/>
      </c>
      <c r="S123" s="31"/>
      <c r="T123" s="78" t="str">
        <f t="shared" si="83"/>
        <v/>
      </c>
      <c r="U123" s="69" t="str">
        <f t="shared" si="84"/>
        <v/>
      </c>
      <c r="V123" s="31"/>
      <c r="W123" s="78" t="str">
        <f t="shared" si="85"/>
        <v/>
      </c>
      <c r="X123" s="69" t="str">
        <f t="shared" si="86"/>
        <v/>
      </c>
      <c r="Y123" s="31"/>
      <c r="Z123" s="78" t="str">
        <f t="shared" si="87"/>
        <v/>
      </c>
      <c r="AA123" s="69" t="str">
        <f t="shared" si="88"/>
        <v/>
      </c>
      <c r="AB123" s="31"/>
      <c r="AC123" s="78" t="str">
        <f t="shared" si="89"/>
        <v/>
      </c>
      <c r="AD123" s="69" t="str">
        <f t="shared" si="90"/>
        <v/>
      </c>
      <c r="AE123" s="31"/>
      <c r="AF123" s="78" t="str">
        <f t="shared" si="91"/>
        <v/>
      </c>
      <c r="AG123" s="69" t="str">
        <f t="shared" si="92"/>
        <v/>
      </c>
      <c r="AH123" s="31"/>
      <c r="AI123" s="78" t="str">
        <f t="shared" si="93"/>
        <v/>
      </c>
      <c r="AJ123" s="69" t="str">
        <f t="shared" si="94"/>
        <v/>
      </c>
      <c r="AK12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3" s="78" t="str">
        <f t="shared" si="95"/>
        <v/>
      </c>
      <c r="AM12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4" spans="1:39" outlineLevel="1" x14ac:dyDescent="0.25">
      <c r="A124" s="73" t="s">
        <v>247</v>
      </c>
      <c r="B124" s="31"/>
      <c r="C124" s="78" t="str">
        <f t="shared" si="72"/>
        <v/>
      </c>
      <c r="D124" s="31"/>
      <c r="E124" s="78" t="str">
        <f t="shared" si="73"/>
        <v/>
      </c>
      <c r="F124" s="69" t="str">
        <f t="shared" si="74"/>
        <v/>
      </c>
      <c r="G124" s="31"/>
      <c r="H124" s="78" t="str">
        <f t="shared" si="75"/>
        <v/>
      </c>
      <c r="I124" s="69" t="str">
        <f t="shared" si="76"/>
        <v/>
      </c>
      <c r="J124" s="31"/>
      <c r="K124" s="78" t="str">
        <f t="shared" si="77"/>
        <v/>
      </c>
      <c r="L124" s="69" t="str">
        <f t="shared" si="78"/>
        <v/>
      </c>
      <c r="M124" s="31"/>
      <c r="N124" s="78" t="str">
        <f t="shared" si="79"/>
        <v/>
      </c>
      <c r="O124" s="69" t="str">
        <f t="shared" si="80"/>
        <v/>
      </c>
      <c r="P124" s="31"/>
      <c r="Q124" s="78" t="str">
        <f t="shared" si="81"/>
        <v/>
      </c>
      <c r="R124" s="69" t="str">
        <f t="shared" si="82"/>
        <v/>
      </c>
      <c r="S124" s="31"/>
      <c r="T124" s="78" t="str">
        <f t="shared" si="83"/>
        <v/>
      </c>
      <c r="U124" s="69" t="str">
        <f t="shared" si="84"/>
        <v/>
      </c>
      <c r="V124" s="31"/>
      <c r="W124" s="78" t="str">
        <f t="shared" si="85"/>
        <v/>
      </c>
      <c r="X124" s="69" t="str">
        <f t="shared" si="86"/>
        <v/>
      </c>
      <c r="Y124" s="31"/>
      <c r="Z124" s="78" t="str">
        <f t="shared" si="87"/>
        <v/>
      </c>
      <c r="AA124" s="69" t="str">
        <f t="shared" si="88"/>
        <v/>
      </c>
      <c r="AB124" s="31"/>
      <c r="AC124" s="78" t="str">
        <f t="shared" si="89"/>
        <v/>
      </c>
      <c r="AD124" s="69" t="str">
        <f t="shared" si="90"/>
        <v/>
      </c>
      <c r="AE124" s="31"/>
      <c r="AF124" s="78" t="str">
        <f t="shared" si="91"/>
        <v/>
      </c>
      <c r="AG124" s="69" t="str">
        <f t="shared" si="92"/>
        <v/>
      </c>
      <c r="AH124" s="31"/>
      <c r="AI124" s="78" t="str">
        <f t="shared" si="93"/>
        <v/>
      </c>
      <c r="AJ124" s="69" t="str">
        <f t="shared" si="94"/>
        <v/>
      </c>
      <c r="AK12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4" s="78" t="str">
        <f t="shared" si="95"/>
        <v/>
      </c>
      <c r="AM12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5" spans="1:39" outlineLevel="1" x14ac:dyDescent="0.25">
      <c r="A125" s="73" t="s">
        <v>248</v>
      </c>
      <c r="B125" s="31"/>
      <c r="C125" s="78" t="str">
        <f t="shared" si="72"/>
        <v/>
      </c>
      <c r="D125" s="31"/>
      <c r="E125" s="78" t="str">
        <f t="shared" si="73"/>
        <v/>
      </c>
      <c r="F125" s="69" t="str">
        <f t="shared" si="74"/>
        <v/>
      </c>
      <c r="G125" s="31"/>
      <c r="H125" s="78" t="str">
        <f t="shared" si="75"/>
        <v/>
      </c>
      <c r="I125" s="69" t="str">
        <f t="shared" si="76"/>
        <v/>
      </c>
      <c r="J125" s="31"/>
      <c r="K125" s="78" t="str">
        <f t="shared" si="77"/>
        <v/>
      </c>
      <c r="L125" s="69" t="str">
        <f t="shared" si="78"/>
        <v/>
      </c>
      <c r="M125" s="31"/>
      <c r="N125" s="78" t="str">
        <f t="shared" si="79"/>
        <v/>
      </c>
      <c r="O125" s="69" t="str">
        <f t="shared" si="80"/>
        <v/>
      </c>
      <c r="P125" s="31"/>
      <c r="Q125" s="78" t="str">
        <f t="shared" si="81"/>
        <v/>
      </c>
      <c r="R125" s="69" t="str">
        <f t="shared" si="82"/>
        <v/>
      </c>
      <c r="S125" s="31"/>
      <c r="T125" s="78" t="str">
        <f t="shared" si="83"/>
        <v/>
      </c>
      <c r="U125" s="69" t="str">
        <f t="shared" si="84"/>
        <v/>
      </c>
      <c r="V125" s="31"/>
      <c r="W125" s="78" t="str">
        <f t="shared" si="85"/>
        <v/>
      </c>
      <c r="X125" s="69" t="str">
        <f t="shared" si="86"/>
        <v/>
      </c>
      <c r="Y125" s="31"/>
      <c r="Z125" s="78" t="str">
        <f t="shared" si="87"/>
        <v/>
      </c>
      <c r="AA125" s="69" t="str">
        <f t="shared" si="88"/>
        <v/>
      </c>
      <c r="AB125" s="31"/>
      <c r="AC125" s="78" t="str">
        <f t="shared" si="89"/>
        <v/>
      </c>
      <c r="AD125" s="69" t="str">
        <f t="shared" si="90"/>
        <v/>
      </c>
      <c r="AE125" s="31"/>
      <c r="AF125" s="78" t="str">
        <f t="shared" si="91"/>
        <v/>
      </c>
      <c r="AG125" s="69" t="str">
        <f t="shared" si="92"/>
        <v/>
      </c>
      <c r="AH125" s="31"/>
      <c r="AI125" s="78" t="str">
        <f t="shared" si="93"/>
        <v/>
      </c>
      <c r="AJ125" s="69" t="str">
        <f t="shared" si="94"/>
        <v/>
      </c>
      <c r="AK12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5" s="78" t="str">
        <f t="shared" si="95"/>
        <v/>
      </c>
      <c r="AM12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6" spans="1:39" outlineLevel="1" x14ac:dyDescent="0.25">
      <c r="A126" s="73" t="s">
        <v>249</v>
      </c>
      <c r="B126" s="31"/>
      <c r="C126" s="78" t="str">
        <f t="shared" si="72"/>
        <v/>
      </c>
      <c r="D126" s="31"/>
      <c r="E126" s="78" t="str">
        <f t="shared" si="73"/>
        <v/>
      </c>
      <c r="F126" s="69" t="str">
        <f t="shared" si="74"/>
        <v/>
      </c>
      <c r="G126" s="31"/>
      <c r="H126" s="78" t="str">
        <f t="shared" si="75"/>
        <v/>
      </c>
      <c r="I126" s="69" t="str">
        <f t="shared" si="76"/>
        <v/>
      </c>
      <c r="J126" s="31"/>
      <c r="K126" s="78" t="str">
        <f t="shared" si="77"/>
        <v/>
      </c>
      <c r="L126" s="69" t="str">
        <f t="shared" si="78"/>
        <v/>
      </c>
      <c r="M126" s="31"/>
      <c r="N126" s="78" t="str">
        <f t="shared" si="79"/>
        <v/>
      </c>
      <c r="O126" s="69" t="str">
        <f t="shared" si="80"/>
        <v/>
      </c>
      <c r="P126" s="31"/>
      <c r="Q126" s="78" t="str">
        <f t="shared" si="81"/>
        <v/>
      </c>
      <c r="R126" s="69" t="str">
        <f t="shared" si="82"/>
        <v/>
      </c>
      <c r="S126" s="31"/>
      <c r="T126" s="78" t="str">
        <f t="shared" si="83"/>
        <v/>
      </c>
      <c r="U126" s="69" t="str">
        <f t="shared" si="84"/>
        <v/>
      </c>
      <c r="V126" s="31"/>
      <c r="W126" s="78" t="str">
        <f t="shared" si="85"/>
        <v/>
      </c>
      <c r="X126" s="69" t="str">
        <f t="shared" si="86"/>
        <v/>
      </c>
      <c r="Y126" s="31"/>
      <c r="Z126" s="78" t="str">
        <f t="shared" si="87"/>
        <v/>
      </c>
      <c r="AA126" s="69" t="str">
        <f t="shared" si="88"/>
        <v/>
      </c>
      <c r="AB126" s="31"/>
      <c r="AC126" s="78" t="str">
        <f t="shared" si="89"/>
        <v/>
      </c>
      <c r="AD126" s="69" t="str">
        <f t="shared" si="90"/>
        <v/>
      </c>
      <c r="AE126" s="31"/>
      <c r="AF126" s="78" t="str">
        <f t="shared" si="91"/>
        <v/>
      </c>
      <c r="AG126" s="69" t="str">
        <f t="shared" si="92"/>
        <v/>
      </c>
      <c r="AH126" s="31"/>
      <c r="AI126" s="78" t="str">
        <f t="shared" si="93"/>
        <v/>
      </c>
      <c r="AJ126" s="69" t="str">
        <f t="shared" si="94"/>
        <v/>
      </c>
      <c r="AK12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6" s="78" t="str">
        <f t="shared" si="95"/>
        <v/>
      </c>
      <c r="AM12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7" spans="1:39" outlineLevel="1" x14ac:dyDescent="0.25">
      <c r="A127" s="73" t="s">
        <v>250</v>
      </c>
      <c r="B127" s="31"/>
      <c r="C127" s="78" t="str">
        <f t="shared" si="72"/>
        <v/>
      </c>
      <c r="D127" s="31"/>
      <c r="E127" s="78" t="str">
        <f t="shared" si="73"/>
        <v/>
      </c>
      <c r="F127" s="69" t="str">
        <f t="shared" si="74"/>
        <v/>
      </c>
      <c r="G127" s="31"/>
      <c r="H127" s="78" t="str">
        <f t="shared" si="75"/>
        <v/>
      </c>
      <c r="I127" s="69" t="str">
        <f t="shared" si="76"/>
        <v/>
      </c>
      <c r="J127" s="31"/>
      <c r="K127" s="78" t="str">
        <f t="shared" si="77"/>
        <v/>
      </c>
      <c r="L127" s="69" t="str">
        <f t="shared" si="78"/>
        <v/>
      </c>
      <c r="M127" s="31"/>
      <c r="N127" s="78" t="str">
        <f t="shared" si="79"/>
        <v/>
      </c>
      <c r="O127" s="69" t="str">
        <f t="shared" si="80"/>
        <v/>
      </c>
      <c r="P127" s="31"/>
      <c r="Q127" s="78" t="str">
        <f t="shared" si="81"/>
        <v/>
      </c>
      <c r="R127" s="69" t="str">
        <f t="shared" si="82"/>
        <v/>
      </c>
      <c r="S127" s="31"/>
      <c r="T127" s="78" t="str">
        <f t="shared" si="83"/>
        <v/>
      </c>
      <c r="U127" s="69" t="str">
        <f t="shared" si="84"/>
        <v/>
      </c>
      <c r="V127" s="31"/>
      <c r="W127" s="78" t="str">
        <f t="shared" si="85"/>
        <v/>
      </c>
      <c r="X127" s="69" t="str">
        <f t="shared" si="86"/>
        <v/>
      </c>
      <c r="Y127" s="31"/>
      <c r="Z127" s="78" t="str">
        <f t="shared" si="87"/>
        <v/>
      </c>
      <c r="AA127" s="69" t="str">
        <f t="shared" si="88"/>
        <v/>
      </c>
      <c r="AB127" s="31"/>
      <c r="AC127" s="78" t="str">
        <f t="shared" si="89"/>
        <v/>
      </c>
      <c r="AD127" s="69" t="str">
        <f t="shared" si="90"/>
        <v/>
      </c>
      <c r="AE127" s="31"/>
      <c r="AF127" s="78" t="str">
        <f t="shared" si="91"/>
        <v/>
      </c>
      <c r="AG127" s="69" t="str">
        <f t="shared" si="92"/>
        <v/>
      </c>
      <c r="AH127" s="31"/>
      <c r="AI127" s="78" t="str">
        <f t="shared" si="93"/>
        <v/>
      </c>
      <c r="AJ127" s="69" t="str">
        <f t="shared" si="94"/>
        <v/>
      </c>
      <c r="AK12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7" s="78" t="str">
        <f t="shared" si="95"/>
        <v/>
      </c>
      <c r="AM12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8" spans="1:39" outlineLevel="1" x14ac:dyDescent="0.25">
      <c r="A128" s="73" t="s">
        <v>251</v>
      </c>
      <c r="B128" s="31"/>
      <c r="C128" s="78" t="str">
        <f t="shared" si="72"/>
        <v/>
      </c>
      <c r="D128" s="31"/>
      <c r="E128" s="78" t="str">
        <f t="shared" si="73"/>
        <v/>
      </c>
      <c r="F128" s="69" t="str">
        <f t="shared" si="74"/>
        <v/>
      </c>
      <c r="G128" s="31"/>
      <c r="H128" s="78" t="str">
        <f t="shared" si="75"/>
        <v/>
      </c>
      <c r="I128" s="69" t="str">
        <f t="shared" si="76"/>
        <v/>
      </c>
      <c r="J128" s="31"/>
      <c r="K128" s="78" t="str">
        <f t="shared" si="77"/>
        <v/>
      </c>
      <c r="L128" s="69" t="str">
        <f t="shared" si="78"/>
        <v/>
      </c>
      <c r="M128" s="31"/>
      <c r="N128" s="78" t="str">
        <f t="shared" si="79"/>
        <v/>
      </c>
      <c r="O128" s="69" t="str">
        <f t="shared" si="80"/>
        <v/>
      </c>
      <c r="P128" s="31"/>
      <c r="Q128" s="78" t="str">
        <f t="shared" si="81"/>
        <v/>
      </c>
      <c r="R128" s="69" t="str">
        <f t="shared" si="82"/>
        <v/>
      </c>
      <c r="S128" s="31"/>
      <c r="T128" s="78" t="str">
        <f t="shared" si="83"/>
        <v/>
      </c>
      <c r="U128" s="69" t="str">
        <f t="shared" si="84"/>
        <v/>
      </c>
      <c r="V128" s="31"/>
      <c r="W128" s="78" t="str">
        <f t="shared" si="85"/>
        <v/>
      </c>
      <c r="X128" s="69" t="str">
        <f t="shared" si="86"/>
        <v/>
      </c>
      <c r="Y128" s="31"/>
      <c r="Z128" s="78" t="str">
        <f t="shared" si="87"/>
        <v/>
      </c>
      <c r="AA128" s="69" t="str">
        <f t="shared" si="88"/>
        <v/>
      </c>
      <c r="AB128" s="31"/>
      <c r="AC128" s="78" t="str">
        <f t="shared" si="89"/>
        <v/>
      </c>
      <c r="AD128" s="69" t="str">
        <f t="shared" si="90"/>
        <v/>
      </c>
      <c r="AE128" s="31"/>
      <c r="AF128" s="78" t="str">
        <f t="shared" si="91"/>
        <v/>
      </c>
      <c r="AG128" s="69" t="str">
        <f t="shared" si="92"/>
        <v/>
      </c>
      <c r="AH128" s="31"/>
      <c r="AI128" s="78" t="str">
        <f t="shared" si="93"/>
        <v/>
      </c>
      <c r="AJ128" s="69" t="str">
        <f t="shared" si="94"/>
        <v/>
      </c>
      <c r="AK12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8" s="78" t="str">
        <f t="shared" si="95"/>
        <v/>
      </c>
      <c r="AM12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29" spans="1:39" outlineLevel="1" x14ac:dyDescent="0.25">
      <c r="A129" s="73" t="s">
        <v>252</v>
      </c>
      <c r="B129" s="31"/>
      <c r="C129" s="78" t="str">
        <f t="shared" si="72"/>
        <v/>
      </c>
      <c r="D129" s="31"/>
      <c r="E129" s="78" t="str">
        <f t="shared" si="73"/>
        <v/>
      </c>
      <c r="F129" s="69" t="str">
        <f t="shared" si="74"/>
        <v/>
      </c>
      <c r="G129" s="31"/>
      <c r="H129" s="78" t="str">
        <f t="shared" si="75"/>
        <v/>
      </c>
      <c r="I129" s="69" t="str">
        <f t="shared" si="76"/>
        <v/>
      </c>
      <c r="J129" s="31"/>
      <c r="K129" s="78" t="str">
        <f t="shared" si="77"/>
        <v/>
      </c>
      <c r="L129" s="69" t="str">
        <f t="shared" si="78"/>
        <v/>
      </c>
      <c r="M129" s="31"/>
      <c r="N129" s="78" t="str">
        <f t="shared" si="79"/>
        <v/>
      </c>
      <c r="O129" s="69" t="str">
        <f t="shared" si="80"/>
        <v/>
      </c>
      <c r="P129" s="31"/>
      <c r="Q129" s="78" t="str">
        <f t="shared" si="81"/>
        <v/>
      </c>
      <c r="R129" s="69" t="str">
        <f t="shared" si="82"/>
        <v/>
      </c>
      <c r="S129" s="31"/>
      <c r="T129" s="78" t="str">
        <f t="shared" si="83"/>
        <v/>
      </c>
      <c r="U129" s="69" t="str">
        <f t="shared" si="84"/>
        <v/>
      </c>
      <c r="V129" s="31"/>
      <c r="W129" s="78" t="str">
        <f t="shared" si="85"/>
        <v/>
      </c>
      <c r="X129" s="69" t="str">
        <f t="shared" si="86"/>
        <v/>
      </c>
      <c r="Y129" s="31"/>
      <c r="Z129" s="78" t="str">
        <f t="shared" si="87"/>
        <v/>
      </c>
      <c r="AA129" s="69" t="str">
        <f t="shared" si="88"/>
        <v/>
      </c>
      <c r="AB129" s="31"/>
      <c r="AC129" s="78" t="str">
        <f t="shared" si="89"/>
        <v/>
      </c>
      <c r="AD129" s="69" t="str">
        <f t="shared" si="90"/>
        <v/>
      </c>
      <c r="AE129" s="31"/>
      <c r="AF129" s="78" t="str">
        <f t="shared" si="91"/>
        <v/>
      </c>
      <c r="AG129" s="69" t="str">
        <f t="shared" si="92"/>
        <v/>
      </c>
      <c r="AH129" s="31"/>
      <c r="AI129" s="78" t="str">
        <f t="shared" si="93"/>
        <v/>
      </c>
      <c r="AJ129" s="69" t="str">
        <f t="shared" si="94"/>
        <v/>
      </c>
      <c r="AK12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29" s="78" t="str">
        <f t="shared" si="95"/>
        <v/>
      </c>
      <c r="AM12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0" spans="1:39" outlineLevel="1" x14ac:dyDescent="0.25">
      <c r="A130" s="73" t="s">
        <v>253</v>
      </c>
      <c r="B130" s="31"/>
      <c r="C130" s="78" t="str">
        <f t="shared" si="72"/>
        <v/>
      </c>
      <c r="D130" s="31"/>
      <c r="E130" s="78" t="str">
        <f t="shared" si="73"/>
        <v/>
      </c>
      <c r="F130" s="69" t="str">
        <f t="shared" si="74"/>
        <v/>
      </c>
      <c r="G130" s="31"/>
      <c r="H130" s="78" t="str">
        <f t="shared" si="75"/>
        <v/>
      </c>
      <c r="I130" s="69" t="str">
        <f t="shared" si="76"/>
        <v/>
      </c>
      <c r="J130" s="31"/>
      <c r="K130" s="78" t="str">
        <f t="shared" si="77"/>
        <v/>
      </c>
      <c r="L130" s="69" t="str">
        <f t="shared" si="78"/>
        <v/>
      </c>
      <c r="M130" s="31"/>
      <c r="N130" s="78" t="str">
        <f t="shared" si="79"/>
        <v/>
      </c>
      <c r="O130" s="69" t="str">
        <f t="shared" si="80"/>
        <v/>
      </c>
      <c r="P130" s="31"/>
      <c r="Q130" s="78" t="str">
        <f t="shared" si="81"/>
        <v/>
      </c>
      <c r="R130" s="69" t="str">
        <f t="shared" si="82"/>
        <v/>
      </c>
      <c r="S130" s="31"/>
      <c r="T130" s="78" t="str">
        <f t="shared" si="83"/>
        <v/>
      </c>
      <c r="U130" s="69" t="str">
        <f t="shared" si="84"/>
        <v/>
      </c>
      <c r="V130" s="31"/>
      <c r="W130" s="78" t="str">
        <f t="shared" si="85"/>
        <v/>
      </c>
      <c r="X130" s="69" t="str">
        <f t="shared" si="86"/>
        <v/>
      </c>
      <c r="Y130" s="31"/>
      <c r="Z130" s="78" t="str">
        <f t="shared" si="87"/>
        <v/>
      </c>
      <c r="AA130" s="69" t="str">
        <f t="shared" si="88"/>
        <v/>
      </c>
      <c r="AB130" s="31"/>
      <c r="AC130" s="78" t="str">
        <f t="shared" si="89"/>
        <v/>
      </c>
      <c r="AD130" s="69" t="str">
        <f t="shared" si="90"/>
        <v/>
      </c>
      <c r="AE130" s="31"/>
      <c r="AF130" s="78" t="str">
        <f t="shared" si="91"/>
        <v/>
      </c>
      <c r="AG130" s="69" t="str">
        <f t="shared" si="92"/>
        <v/>
      </c>
      <c r="AH130" s="31"/>
      <c r="AI130" s="78" t="str">
        <f t="shared" si="93"/>
        <v/>
      </c>
      <c r="AJ130" s="69" t="str">
        <f t="shared" si="94"/>
        <v/>
      </c>
      <c r="AK13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0" s="78" t="str">
        <f t="shared" si="95"/>
        <v/>
      </c>
      <c r="AM13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1" spans="1:39" outlineLevel="1" x14ac:dyDescent="0.25">
      <c r="A131" s="73" t="s">
        <v>254</v>
      </c>
      <c r="B131" s="31"/>
      <c r="C131" s="78" t="str">
        <f t="shared" ref="C131:C162" si="96">IFERROR(B131/$B$3,"")</f>
        <v/>
      </c>
      <c r="D131" s="31"/>
      <c r="E131" s="78" t="str">
        <f t="shared" ref="E131:E162" si="97">IFERROR(D131/$D$3,"")</f>
        <v/>
      </c>
      <c r="F131" s="69" t="str">
        <f t="shared" ref="F131:F162" si="98">IFERROR((D131-B131)/B131,"")</f>
        <v/>
      </c>
      <c r="G131" s="31"/>
      <c r="H131" s="78" t="str">
        <f t="shared" ref="H131:H162" si="99">IFERROR(G131/$G$3,"")</f>
        <v/>
      </c>
      <c r="I131" s="69" t="str">
        <f t="shared" ref="I131:I162" si="100">IFERROR((G131-D131)/D131,"")</f>
        <v/>
      </c>
      <c r="J131" s="31"/>
      <c r="K131" s="78" t="str">
        <f t="shared" ref="K131:K162" si="101">IFERROR(J131/$J$3,"")</f>
        <v/>
      </c>
      <c r="L131" s="69" t="str">
        <f t="shared" ref="L131:L162" si="102">IFERROR((J131-G131)/G131,"")</f>
        <v/>
      </c>
      <c r="M131" s="31"/>
      <c r="N131" s="78" t="str">
        <f t="shared" ref="N131:N162" si="103">IFERROR(M131/$M$3,"")</f>
        <v/>
      </c>
      <c r="O131" s="69" t="str">
        <f t="shared" ref="O131:O162" si="104">IFERROR((M131-J131)/J131,"")</f>
        <v/>
      </c>
      <c r="P131" s="31"/>
      <c r="Q131" s="78" t="str">
        <f t="shared" ref="Q131:Q162" si="105">IFERROR(P131/$P$3,"")</f>
        <v/>
      </c>
      <c r="R131" s="69" t="str">
        <f t="shared" ref="R131:R162" si="106">IFERROR((P131-M131)/M131,"")</f>
        <v/>
      </c>
      <c r="S131" s="31"/>
      <c r="T131" s="78" t="str">
        <f t="shared" ref="T131:T162" si="107">IFERROR(S131/$S$3,"")</f>
        <v/>
      </c>
      <c r="U131" s="69" t="str">
        <f t="shared" ref="U131:U162" si="108">IFERROR((S131-P131)/P131,"")</f>
        <v/>
      </c>
      <c r="V131" s="31"/>
      <c r="W131" s="78" t="str">
        <f t="shared" ref="W131:W162" si="109">IFERROR(V131/$V$3,"")</f>
        <v/>
      </c>
      <c r="X131" s="69" t="str">
        <f t="shared" ref="X131:X162" si="110">IFERROR((V131-S131)/S131,"")</f>
        <v/>
      </c>
      <c r="Y131" s="31"/>
      <c r="Z131" s="78" t="str">
        <f t="shared" ref="Z131:Z162" si="111">IFERROR(Y131/$Y$3,"")</f>
        <v/>
      </c>
      <c r="AA131" s="69" t="str">
        <f t="shared" ref="AA131:AA162" si="112">IFERROR((Y131-V131)/V131,"")</f>
        <v/>
      </c>
      <c r="AB131" s="31"/>
      <c r="AC131" s="78" t="str">
        <f t="shared" ref="AC131:AC162" si="113">IFERROR(AB131/$AB$3,"")</f>
        <v/>
      </c>
      <c r="AD131" s="69" t="str">
        <f t="shared" ref="AD131:AD162" si="114">IFERROR((AB131-Y131)/Y131,"")</f>
        <v/>
      </c>
      <c r="AE131" s="31"/>
      <c r="AF131" s="78" t="str">
        <f t="shared" ref="AF131:AF162" si="115">IFERROR(AE131/$AE$3,"")</f>
        <v/>
      </c>
      <c r="AG131" s="69" t="str">
        <f t="shared" ref="AG131:AG162" si="116">IFERROR((AE131-AB131)/AB131,"")</f>
        <v/>
      </c>
      <c r="AH131" s="31"/>
      <c r="AI131" s="78" t="str">
        <f t="shared" ref="AI131:AI162" si="117">IFERROR(AH131/$AH$3,"")</f>
        <v/>
      </c>
      <c r="AJ131" s="69" t="str">
        <f t="shared" ref="AJ131:AJ162" si="118">IFERROR((AH131-AE131)/AE131,"")</f>
        <v/>
      </c>
      <c r="AK13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1" s="78" t="str">
        <f t="shared" ref="AL131:AL162" si="119">IFERROR(AK131/$AK$3,"")</f>
        <v/>
      </c>
      <c r="AM13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2" spans="1:39" outlineLevel="1" x14ac:dyDescent="0.25">
      <c r="A132" s="73" t="s">
        <v>255</v>
      </c>
      <c r="B132" s="31"/>
      <c r="C132" s="78" t="str">
        <f t="shared" si="96"/>
        <v/>
      </c>
      <c r="D132" s="31"/>
      <c r="E132" s="78" t="str">
        <f t="shared" si="97"/>
        <v/>
      </c>
      <c r="F132" s="69" t="str">
        <f t="shared" si="98"/>
        <v/>
      </c>
      <c r="G132" s="31"/>
      <c r="H132" s="78" t="str">
        <f t="shared" si="99"/>
        <v/>
      </c>
      <c r="I132" s="69" t="str">
        <f t="shared" si="100"/>
        <v/>
      </c>
      <c r="J132" s="31"/>
      <c r="K132" s="78" t="str">
        <f t="shared" si="101"/>
        <v/>
      </c>
      <c r="L132" s="69" t="str">
        <f t="shared" si="102"/>
        <v/>
      </c>
      <c r="M132" s="31"/>
      <c r="N132" s="78" t="str">
        <f t="shared" si="103"/>
        <v/>
      </c>
      <c r="O132" s="69" t="str">
        <f t="shared" si="104"/>
        <v/>
      </c>
      <c r="P132" s="31"/>
      <c r="Q132" s="78" t="str">
        <f t="shared" si="105"/>
        <v/>
      </c>
      <c r="R132" s="69" t="str">
        <f t="shared" si="106"/>
        <v/>
      </c>
      <c r="S132" s="31"/>
      <c r="T132" s="78" t="str">
        <f t="shared" si="107"/>
        <v/>
      </c>
      <c r="U132" s="69" t="str">
        <f t="shared" si="108"/>
        <v/>
      </c>
      <c r="V132" s="31"/>
      <c r="W132" s="78" t="str">
        <f t="shared" si="109"/>
        <v/>
      </c>
      <c r="X132" s="69" t="str">
        <f t="shared" si="110"/>
        <v/>
      </c>
      <c r="Y132" s="31"/>
      <c r="Z132" s="78" t="str">
        <f t="shared" si="111"/>
        <v/>
      </c>
      <c r="AA132" s="69" t="str">
        <f t="shared" si="112"/>
        <v/>
      </c>
      <c r="AB132" s="31"/>
      <c r="AC132" s="78" t="str">
        <f t="shared" si="113"/>
        <v/>
      </c>
      <c r="AD132" s="69" t="str">
        <f t="shared" si="114"/>
        <v/>
      </c>
      <c r="AE132" s="31"/>
      <c r="AF132" s="78" t="str">
        <f t="shared" si="115"/>
        <v/>
      </c>
      <c r="AG132" s="69" t="str">
        <f t="shared" si="116"/>
        <v/>
      </c>
      <c r="AH132" s="31"/>
      <c r="AI132" s="78" t="str">
        <f t="shared" si="117"/>
        <v/>
      </c>
      <c r="AJ132" s="69" t="str">
        <f t="shared" si="118"/>
        <v/>
      </c>
      <c r="AK13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2" s="78" t="str">
        <f t="shared" si="119"/>
        <v/>
      </c>
      <c r="AM13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3" spans="1:39" outlineLevel="1" x14ac:dyDescent="0.25">
      <c r="A133" s="73" t="s">
        <v>256</v>
      </c>
      <c r="B133" s="31"/>
      <c r="C133" s="78" t="str">
        <f t="shared" si="96"/>
        <v/>
      </c>
      <c r="D133" s="31"/>
      <c r="E133" s="78" t="str">
        <f t="shared" si="97"/>
        <v/>
      </c>
      <c r="F133" s="69" t="str">
        <f t="shared" si="98"/>
        <v/>
      </c>
      <c r="G133" s="31"/>
      <c r="H133" s="78" t="str">
        <f t="shared" si="99"/>
        <v/>
      </c>
      <c r="I133" s="69" t="str">
        <f t="shared" si="100"/>
        <v/>
      </c>
      <c r="J133" s="31"/>
      <c r="K133" s="78" t="str">
        <f t="shared" si="101"/>
        <v/>
      </c>
      <c r="L133" s="69" t="str">
        <f t="shared" si="102"/>
        <v/>
      </c>
      <c r="M133" s="31"/>
      <c r="N133" s="78" t="str">
        <f t="shared" si="103"/>
        <v/>
      </c>
      <c r="O133" s="69" t="str">
        <f t="shared" si="104"/>
        <v/>
      </c>
      <c r="P133" s="31"/>
      <c r="Q133" s="78" t="str">
        <f t="shared" si="105"/>
        <v/>
      </c>
      <c r="R133" s="69" t="str">
        <f t="shared" si="106"/>
        <v/>
      </c>
      <c r="S133" s="31"/>
      <c r="T133" s="78" t="str">
        <f t="shared" si="107"/>
        <v/>
      </c>
      <c r="U133" s="69" t="str">
        <f t="shared" si="108"/>
        <v/>
      </c>
      <c r="V133" s="31"/>
      <c r="W133" s="78" t="str">
        <f t="shared" si="109"/>
        <v/>
      </c>
      <c r="X133" s="69" t="str">
        <f t="shared" si="110"/>
        <v/>
      </c>
      <c r="Y133" s="31"/>
      <c r="Z133" s="78" t="str">
        <f t="shared" si="111"/>
        <v/>
      </c>
      <c r="AA133" s="69" t="str">
        <f t="shared" si="112"/>
        <v/>
      </c>
      <c r="AB133" s="31"/>
      <c r="AC133" s="78" t="str">
        <f t="shared" si="113"/>
        <v/>
      </c>
      <c r="AD133" s="69" t="str">
        <f t="shared" si="114"/>
        <v/>
      </c>
      <c r="AE133" s="31"/>
      <c r="AF133" s="78" t="str">
        <f t="shared" si="115"/>
        <v/>
      </c>
      <c r="AG133" s="69" t="str">
        <f t="shared" si="116"/>
        <v/>
      </c>
      <c r="AH133" s="31"/>
      <c r="AI133" s="78" t="str">
        <f t="shared" si="117"/>
        <v/>
      </c>
      <c r="AJ133" s="69" t="str">
        <f t="shared" si="118"/>
        <v/>
      </c>
      <c r="AK13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3" s="78" t="str">
        <f t="shared" si="119"/>
        <v/>
      </c>
      <c r="AM13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4" spans="1:39" outlineLevel="1" x14ac:dyDescent="0.25">
      <c r="A134" s="73" t="s">
        <v>257</v>
      </c>
      <c r="B134" s="31"/>
      <c r="C134" s="78" t="str">
        <f t="shared" si="96"/>
        <v/>
      </c>
      <c r="D134" s="31"/>
      <c r="E134" s="78" t="str">
        <f t="shared" si="97"/>
        <v/>
      </c>
      <c r="F134" s="69" t="str">
        <f t="shared" si="98"/>
        <v/>
      </c>
      <c r="G134" s="31"/>
      <c r="H134" s="78" t="str">
        <f t="shared" si="99"/>
        <v/>
      </c>
      <c r="I134" s="69" t="str">
        <f t="shared" si="100"/>
        <v/>
      </c>
      <c r="J134" s="31"/>
      <c r="K134" s="78" t="str">
        <f t="shared" si="101"/>
        <v/>
      </c>
      <c r="L134" s="69" t="str">
        <f t="shared" si="102"/>
        <v/>
      </c>
      <c r="M134" s="31"/>
      <c r="N134" s="78" t="str">
        <f t="shared" si="103"/>
        <v/>
      </c>
      <c r="O134" s="69" t="str">
        <f t="shared" si="104"/>
        <v/>
      </c>
      <c r="P134" s="31"/>
      <c r="Q134" s="78" t="str">
        <f t="shared" si="105"/>
        <v/>
      </c>
      <c r="R134" s="69" t="str">
        <f t="shared" si="106"/>
        <v/>
      </c>
      <c r="S134" s="31"/>
      <c r="T134" s="78" t="str">
        <f t="shared" si="107"/>
        <v/>
      </c>
      <c r="U134" s="69" t="str">
        <f t="shared" si="108"/>
        <v/>
      </c>
      <c r="V134" s="31"/>
      <c r="W134" s="78" t="str">
        <f t="shared" si="109"/>
        <v/>
      </c>
      <c r="X134" s="69" t="str">
        <f t="shared" si="110"/>
        <v/>
      </c>
      <c r="Y134" s="31"/>
      <c r="Z134" s="78" t="str">
        <f t="shared" si="111"/>
        <v/>
      </c>
      <c r="AA134" s="69" t="str">
        <f t="shared" si="112"/>
        <v/>
      </c>
      <c r="AB134" s="31"/>
      <c r="AC134" s="78" t="str">
        <f t="shared" si="113"/>
        <v/>
      </c>
      <c r="AD134" s="69" t="str">
        <f t="shared" si="114"/>
        <v/>
      </c>
      <c r="AE134" s="31"/>
      <c r="AF134" s="78" t="str">
        <f t="shared" si="115"/>
        <v/>
      </c>
      <c r="AG134" s="69" t="str">
        <f t="shared" si="116"/>
        <v/>
      </c>
      <c r="AH134" s="31"/>
      <c r="AI134" s="78" t="str">
        <f t="shared" si="117"/>
        <v/>
      </c>
      <c r="AJ134" s="69" t="str">
        <f t="shared" si="118"/>
        <v/>
      </c>
      <c r="AK13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4" s="78" t="str">
        <f t="shared" si="119"/>
        <v/>
      </c>
      <c r="AM13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5" spans="1:39" outlineLevel="1" x14ac:dyDescent="0.25">
      <c r="A135" s="73" t="s">
        <v>258</v>
      </c>
      <c r="B135" s="31"/>
      <c r="C135" s="78" t="str">
        <f t="shared" si="96"/>
        <v/>
      </c>
      <c r="D135" s="31"/>
      <c r="E135" s="78" t="str">
        <f t="shared" si="97"/>
        <v/>
      </c>
      <c r="F135" s="69" t="str">
        <f t="shared" si="98"/>
        <v/>
      </c>
      <c r="G135" s="31"/>
      <c r="H135" s="78" t="str">
        <f t="shared" si="99"/>
        <v/>
      </c>
      <c r="I135" s="69" t="str">
        <f t="shared" si="100"/>
        <v/>
      </c>
      <c r="J135" s="31"/>
      <c r="K135" s="78" t="str">
        <f t="shared" si="101"/>
        <v/>
      </c>
      <c r="L135" s="69" t="str">
        <f t="shared" si="102"/>
        <v/>
      </c>
      <c r="M135" s="31"/>
      <c r="N135" s="78" t="str">
        <f t="shared" si="103"/>
        <v/>
      </c>
      <c r="O135" s="69" t="str">
        <f t="shared" si="104"/>
        <v/>
      </c>
      <c r="P135" s="31"/>
      <c r="Q135" s="78" t="str">
        <f t="shared" si="105"/>
        <v/>
      </c>
      <c r="R135" s="69" t="str">
        <f t="shared" si="106"/>
        <v/>
      </c>
      <c r="S135" s="31"/>
      <c r="T135" s="78" t="str">
        <f t="shared" si="107"/>
        <v/>
      </c>
      <c r="U135" s="69" t="str">
        <f t="shared" si="108"/>
        <v/>
      </c>
      <c r="V135" s="31"/>
      <c r="W135" s="78" t="str">
        <f t="shared" si="109"/>
        <v/>
      </c>
      <c r="X135" s="69" t="str">
        <f t="shared" si="110"/>
        <v/>
      </c>
      <c r="Y135" s="31"/>
      <c r="Z135" s="78" t="str">
        <f t="shared" si="111"/>
        <v/>
      </c>
      <c r="AA135" s="69" t="str">
        <f t="shared" si="112"/>
        <v/>
      </c>
      <c r="AB135" s="31"/>
      <c r="AC135" s="78" t="str">
        <f t="shared" si="113"/>
        <v/>
      </c>
      <c r="AD135" s="69" t="str">
        <f t="shared" si="114"/>
        <v/>
      </c>
      <c r="AE135" s="31"/>
      <c r="AF135" s="78" t="str">
        <f t="shared" si="115"/>
        <v/>
      </c>
      <c r="AG135" s="69" t="str">
        <f t="shared" si="116"/>
        <v/>
      </c>
      <c r="AH135" s="31"/>
      <c r="AI135" s="78" t="str">
        <f t="shared" si="117"/>
        <v/>
      </c>
      <c r="AJ135" s="69" t="str">
        <f t="shared" si="118"/>
        <v/>
      </c>
      <c r="AK13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5" s="78" t="str">
        <f t="shared" si="119"/>
        <v/>
      </c>
      <c r="AM13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6" spans="1:39" outlineLevel="1" x14ac:dyDescent="0.25">
      <c r="A136" s="73" t="s">
        <v>259</v>
      </c>
      <c r="B136" s="31"/>
      <c r="C136" s="78" t="str">
        <f t="shared" si="96"/>
        <v/>
      </c>
      <c r="D136" s="31"/>
      <c r="E136" s="78" t="str">
        <f t="shared" si="97"/>
        <v/>
      </c>
      <c r="F136" s="69" t="str">
        <f t="shared" si="98"/>
        <v/>
      </c>
      <c r="G136" s="31"/>
      <c r="H136" s="78" t="str">
        <f t="shared" si="99"/>
        <v/>
      </c>
      <c r="I136" s="69" t="str">
        <f t="shared" si="100"/>
        <v/>
      </c>
      <c r="J136" s="31"/>
      <c r="K136" s="78" t="str">
        <f t="shared" si="101"/>
        <v/>
      </c>
      <c r="L136" s="69" t="str">
        <f t="shared" si="102"/>
        <v/>
      </c>
      <c r="M136" s="31"/>
      <c r="N136" s="78" t="str">
        <f t="shared" si="103"/>
        <v/>
      </c>
      <c r="O136" s="69" t="str">
        <f t="shared" si="104"/>
        <v/>
      </c>
      <c r="P136" s="31"/>
      <c r="Q136" s="78" t="str">
        <f t="shared" si="105"/>
        <v/>
      </c>
      <c r="R136" s="69" t="str">
        <f t="shared" si="106"/>
        <v/>
      </c>
      <c r="S136" s="31"/>
      <c r="T136" s="78" t="str">
        <f t="shared" si="107"/>
        <v/>
      </c>
      <c r="U136" s="69" t="str">
        <f t="shared" si="108"/>
        <v/>
      </c>
      <c r="V136" s="31"/>
      <c r="W136" s="78" t="str">
        <f t="shared" si="109"/>
        <v/>
      </c>
      <c r="X136" s="69" t="str">
        <f t="shared" si="110"/>
        <v/>
      </c>
      <c r="Y136" s="31"/>
      <c r="Z136" s="78" t="str">
        <f t="shared" si="111"/>
        <v/>
      </c>
      <c r="AA136" s="69" t="str">
        <f t="shared" si="112"/>
        <v/>
      </c>
      <c r="AB136" s="31"/>
      <c r="AC136" s="78" t="str">
        <f t="shared" si="113"/>
        <v/>
      </c>
      <c r="AD136" s="69" t="str">
        <f t="shared" si="114"/>
        <v/>
      </c>
      <c r="AE136" s="31"/>
      <c r="AF136" s="78" t="str">
        <f t="shared" si="115"/>
        <v/>
      </c>
      <c r="AG136" s="69" t="str">
        <f t="shared" si="116"/>
        <v/>
      </c>
      <c r="AH136" s="31"/>
      <c r="AI136" s="78" t="str">
        <f t="shared" si="117"/>
        <v/>
      </c>
      <c r="AJ136" s="69" t="str">
        <f t="shared" si="118"/>
        <v/>
      </c>
      <c r="AK13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6" s="78" t="str">
        <f t="shared" si="119"/>
        <v/>
      </c>
      <c r="AM13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7" spans="1:39" outlineLevel="1" x14ac:dyDescent="0.25">
      <c r="A137" s="73" t="s">
        <v>260</v>
      </c>
      <c r="B137" s="31"/>
      <c r="C137" s="78" t="str">
        <f t="shared" si="96"/>
        <v/>
      </c>
      <c r="D137" s="31"/>
      <c r="E137" s="78" t="str">
        <f t="shared" si="97"/>
        <v/>
      </c>
      <c r="F137" s="69" t="str">
        <f t="shared" si="98"/>
        <v/>
      </c>
      <c r="G137" s="31"/>
      <c r="H137" s="78" t="str">
        <f t="shared" si="99"/>
        <v/>
      </c>
      <c r="I137" s="69" t="str">
        <f t="shared" si="100"/>
        <v/>
      </c>
      <c r="J137" s="31"/>
      <c r="K137" s="78" t="str">
        <f t="shared" si="101"/>
        <v/>
      </c>
      <c r="L137" s="69" t="str">
        <f t="shared" si="102"/>
        <v/>
      </c>
      <c r="M137" s="31"/>
      <c r="N137" s="78" t="str">
        <f t="shared" si="103"/>
        <v/>
      </c>
      <c r="O137" s="69" t="str">
        <f t="shared" si="104"/>
        <v/>
      </c>
      <c r="P137" s="31"/>
      <c r="Q137" s="78" t="str">
        <f t="shared" si="105"/>
        <v/>
      </c>
      <c r="R137" s="69" t="str">
        <f t="shared" si="106"/>
        <v/>
      </c>
      <c r="S137" s="31"/>
      <c r="T137" s="78" t="str">
        <f t="shared" si="107"/>
        <v/>
      </c>
      <c r="U137" s="69" t="str">
        <f t="shared" si="108"/>
        <v/>
      </c>
      <c r="V137" s="31"/>
      <c r="W137" s="78" t="str">
        <f t="shared" si="109"/>
        <v/>
      </c>
      <c r="X137" s="69" t="str">
        <f t="shared" si="110"/>
        <v/>
      </c>
      <c r="Y137" s="31"/>
      <c r="Z137" s="78" t="str">
        <f t="shared" si="111"/>
        <v/>
      </c>
      <c r="AA137" s="69" t="str">
        <f t="shared" si="112"/>
        <v/>
      </c>
      <c r="AB137" s="31"/>
      <c r="AC137" s="78" t="str">
        <f t="shared" si="113"/>
        <v/>
      </c>
      <c r="AD137" s="69" t="str">
        <f t="shared" si="114"/>
        <v/>
      </c>
      <c r="AE137" s="31"/>
      <c r="AF137" s="78" t="str">
        <f t="shared" si="115"/>
        <v/>
      </c>
      <c r="AG137" s="69" t="str">
        <f t="shared" si="116"/>
        <v/>
      </c>
      <c r="AH137" s="31"/>
      <c r="AI137" s="78" t="str">
        <f t="shared" si="117"/>
        <v/>
      </c>
      <c r="AJ137" s="69" t="str">
        <f t="shared" si="118"/>
        <v/>
      </c>
      <c r="AK13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7" s="78" t="str">
        <f t="shared" si="119"/>
        <v/>
      </c>
      <c r="AM13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8" spans="1:39" outlineLevel="1" x14ac:dyDescent="0.25">
      <c r="A138" s="73" t="s">
        <v>261</v>
      </c>
      <c r="B138" s="31"/>
      <c r="C138" s="78" t="str">
        <f t="shared" si="96"/>
        <v/>
      </c>
      <c r="D138" s="31"/>
      <c r="E138" s="78" t="str">
        <f t="shared" si="97"/>
        <v/>
      </c>
      <c r="F138" s="69" t="str">
        <f t="shared" si="98"/>
        <v/>
      </c>
      <c r="G138" s="31"/>
      <c r="H138" s="78" t="str">
        <f t="shared" si="99"/>
        <v/>
      </c>
      <c r="I138" s="69" t="str">
        <f t="shared" si="100"/>
        <v/>
      </c>
      <c r="J138" s="31"/>
      <c r="K138" s="78" t="str">
        <f t="shared" si="101"/>
        <v/>
      </c>
      <c r="L138" s="69" t="str">
        <f t="shared" si="102"/>
        <v/>
      </c>
      <c r="M138" s="31"/>
      <c r="N138" s="78" t="str">
        <f t="shared" si="103"/>
        <v/>
      </c>
      <c r="O138" s="69" t="str">
        <f t="shared" si="104"/>
        <v/>
      </c>
      <c r="P138" s="31"/>
      <c r="Q138" s="78" t="str">
        <f t="shared" si="105"/>
        <v/>
      </c>
      <c r="R138" s="69" t="str">
        <f t="shared" si="106"/>
        <v/>
      </c>
      <c r="S138" s="31"/>
      <c r="T138" s="78" t="str">
        <f t="shared" si="107"/>
        <v/>
      </c>
      <c r="U138" s="69" t="str">
        <f t="shared" si="108"/>
        <v/>
      </c>
      <c r="V138" s="31"/>
      <c r="W138" s="78" t="str">
        <f t="shared" si="109"/>
        <v/>
      </c>
      <c r="X138" s="69" t="str">
        <f t="shared" si="110"/>
        <v/>
      </c>
      <c r="Y138" s="31"/>
      <c r="Z138" s="78" t="str">
        <f t="shared" si="111"/>
        <v/>
      </c>
      <c r="AA138" s="69" t="str">
        <f t="shared" si="112"/>
        <v/>
      </c>
      <c r="AB138" s="31"/>
      <c r="AC138" s="78" t="str">
        <f t="shared" si="113"/>
        <v/>
      </c>
      <c r="AD138" s="69" t="str">
        <f t="shared" si="114"/>
        <v/>
      </c>
      <c r="AE138" s="31"/>
      <c r="AF138" s="78" t="str">
        <f t="shared" si="115"/>
        <v/>
      </c>
      <c r="AG138" s="69" t="str">
        <f t="shared" si="116"/>
        <v/>
      </c>
      <c r="AH138" s="31"/>
      <c r="AI138" s="78" t="str">
        <f t="shared" si="117"/>
        <v/>
      </c>
      <c r="AJ138" s="69" t="str">
        <f t="shared" si="118"/>
        <v/>
      </c>
      <c r="AK13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8" s="78" t="str">
        <f t="shared" si="119"/>
        <v/>
      </c>
      <c r="AM13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39" spans="1:39" outlineLevel="1" x14ac:dyDescent="0.25">
      <c r="A139" s="73" t="s">
        <v>262</v>
      </c>
      <c r="B139" s="31"/>
      <c r="C139" s="78" t="str">
        <f t="shared" si="96"/>
        <v/>
      </c>
      <c r="D139" s="31"/>
      <c r="E139" s="78" t="str">
        <f t="shared" si="97"/>
        <v/>
      </c>
      <c r="F139" s="69" t="str">
        <f t="shared" si="98"/>
        <v/>
      </c>
      <c r="G139" s="31"/>
      <c r="H139" s="78" t="str">
        <f t="shared" si="99"/>
        <v/>
      </c>
      <c r="I139" s="69" t="str">
        <f t="shared" si="100"/>
        <v/>
      </c>
      <c r="J139" s="31"/>
      <c r="K139" s="78" t="str">
        <f t="shared" si="101"/>
        <v/>
      </c>
      <c r="L139" s="69" t="str">
        <f t="shared" si="102"/>
        <v/>
      </c>
      <c r="M139" s="31"/>
      <c r="N139" s="78" t="str">
        <f t="shared" si="103"/>
        <v/>
      </c>
      <c r="O139" s="69" t="str">
        <f t="shared" si="104"/>
        <v/>
      </c>
      <c r="P139" s="31"/>
      <c r="Q139" s="78" t="str">
        <f t="shared" si="105"/>
        <v/>
      </c>
      <c r="R139" s="69" t="str">
        <f t="shared" si="106"/>
        <v/>
      </c>
      <c r="S139" s="31"/>
      <c r="T139" s="78" t="str">
        <f t="shared" si="107"/>
        <v/>
      </c>
      <c r="U139" s="69" t="str">
        <f t="shared" si="108"/>
        <v/>
      </c>
      <c r="V139" s="31"/>
      <c r="W139" s="78" t="str">
        <f t="shared" si="109"/>
        <v/>
      </c>
      <c r="X139" s="69" t="str">
        <f t="shared" si="110"/>
        <v/>
      </c>
      <c r="Y139" s="31"/>
      <c r="Z139" s="78" t="str">
        <f t="shared" si="111"/>
        <v/>
      </c>
      <c r="AA139" s="69" t="str">
        <f t="shared" si="112"/>
        <v/>
      </c>
      <c r="AB139" s="31"/>
      <c r="AC139" s="78" t="str">
        <f t="shared" si="113"/>
        <v/>
      </c>
      <c r="AD139" s="69" t="str">
        <f t="shared" si="114"/>
        <v/>
      </c>
      <c r="AE139" s="31"/>
      <c r="AF139" s="78" t="str">
        <f t="shared" si="115"/>
        <v/>
      </c>
      <c r="AG139" s="69" t="str">
        <f t="shared" si="116"/>
        <v/>
      </c>
      <c r="AH139" s="31"/>
      <c r="AI139" s="78" t="str">
        <f t="shared" si="117"/>
        <v/>
      </c>
      <c r="AJ139" s="69" t="str">
        <f t="shared" si="118"/>
        <v/>
      </c>
      <c r="AK13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39" s="78" t="str">
        <f t="shared" si="119"/>
        <v/>
      </c>
      <c r="AM13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0" spans="1:39" outlineLevel="1" x14ac:dyDescent="0.25">
      <c r="A140" s="73" t="s">
        <v>263</v>
      </c>
      <c r="B140" s="31"/>
      <c r="C140" s="78" t="str">
        <f t="shared" si="96"/>
        <v/>
      </c>
      <c r="D140" s="31"/>
      <c r="E140" s="78" t="str">
        <f t="shared" si="97"/>
        <v/>
      </c>
      <c r="F140" s="69" t="str">
        <f t="shared" si="98"/>
        <v/>
      </c>
      <c r="G140" s="31"/>
      <c r="H140" s="78" t="str">
        <f t="shared" si="99"/>
        <v/>
      </c>
      <c r="I140" s="69" t="str">
        <f t="shared" si="100"/>
        <v/>
      </c>
      <c r="J140" s="31"/>
      <c r="K140" s="78" t="str">
        <f t="shared" si="101"/>
        <v/>
      </c>
      <c r="L140" s="69" t="str">
        <f t="shared" si="102"/>
        <v/>
      </c>
      <c r="M140" s="31"/>
      <c r="N140" s="78" t="str">
        <f t="shared" si="103"/>
        <v/>
      </c>
      <c r="O140" s="69" t="str">
        <f t="shared" si="104"/>
        <v/>
      </c>
      <c r="P140" s="31"/>
      <c r="Q140" s="78" t="str">
        <f t="shared" si="105"/>
        <v/>
      </c>
      <c r="R140" s="69" t="str">
        <f t="shared" si="106"/>
        <v/>
      </c>
      <c r="S140" s="31"/>
      <c r="T140" s="78" t="str">
        <f t="shared" si="107"/>
        <v/>
      </c>
      <c r="U140" s="69" t="str">
        <f t="shared" si="108"/>
        <v/>
      </c>
      <c r="V140" s="31"/>
      <c r="W140" s="78" t="str">
        <f t="shared" si="109"/>
        <v/>
      </c>
      <c r="X140" s="69" t="str">
        <f t="shared" si="110"/>
        <v/>
      </c>
      <c r="Y140" s="31"/>
      <c r="Z140" s="78" t="str">
        <f t="shared" si="111"/>
        <v/>
      </c>
      <c r="AA140" s="69" t="str">
        <f t="shared" si="112"/>
        <v/>
      </c>
      <c r="AB140" s="31"/>
      <c r="AC140" s="78" t="str">
        <f t="shared" si="113"/>
        <v/>
      </c>
      <c r="AD140" s="69" t="str">
        <f t="shared" si="114"/>
        <v/>
      </c>
      <c r="AE140" s="31"/>
      <c r="AF140" s="78" t="str">
        <f t="shared" si="115"/>
        <v/>
      </c>
      <c r="AG140" s="69" t="str">
        <f t="shared" si="116"/>
        <v/>
      </c>
      <c r="AH140" s="31"/>
      <c r="AI140" s="78" t="str">
        <f t="shared" si="117"/>
        <v/>
      </c>
      <c r="AJ140" s="69" t="str">
        <f t="shared" si="118"/>
        <v/>
      </c>
      <c r="AK14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0" s="78" t="str">
        <f t="shared" si="119"/>
        <v/>
      </c>
      <c r="AM14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1" spans="1:39" outlineLevel="1" x14ac:dyDescent="0.25">
      <c r="A141" s="73" t="s">
        <v>264</v>
      </c>
      <c r="B141" s="31"/>
      <c r="C141" s="78" t="str">
        <f t="shared" si="96"/>
        <v/>
      </c>
      <c r="D141" s="31"/>
      <c r="E141" s="78" t="str">
        <f t="shared" si="97"/>
        <v/>
      </c>
      <c r="F141" s="69" t="str">
        <f t="shared" si="98"/>
        <v/>
      </c>
      <c r="G141" s="31"/>
      <c r="H141" s="78" t="str">
        <f t="shared" si="99"/>
        <v/>
      </c>
      <c r="I141" s="69" t="str">
        <f t="shared" si="100"/>
        <v/>
      </c>
      <c r="J141" s="31"/>
      <c r="K141" s="78" t="str">
        <f t="shared" si="101"/>
        <v/>
      </c>
      <c r="L141" s="69" t="str">
        <f t="shared" si="102"/>
        <v/>
      </c>
      <c r="M141" s="31"/>
      <c r="N141" s="78" t="str">
        <f t="shared" si="103"/>
        <v/>
      </c>
      <c r="O141" s="69" t="str">
        <f t="shared" si="104"/>
        <v/>
      </c>
      <c r="P141" s="31"/>
      <c r="Q141" s="78" t="str">
        <f t="shared" si="105"/>
        <v/>
      </c>
      <c r="R141" s="69" t="str">
        <f t="shared" si="106"/>
        <v/>
      </c>
      <c r="S141" s="31"/>
      <c r="T141" s="78" t="str">
        <f t="shared" si="107"/>
        <v/>
      </c>
      <c r="U141" s="69" t="str">
        <f t="shared" si="108"/>
        <v/>
      </c>
      <c r="V141" s="31"/>
      <c r="W141" s="78" t="str">
        <f t="shared" si="109"/>
        <v/>
      </c>
      <c r="X141" s="69" t="str">
        <f t="shared" si="110"/>
        <v/>
      </c>
      <c r="Y141" s="31"/>
      <c r="Z141" s="78" t="str">
        <f t="shared" si="111"/>
        <v/>
      </c>
      <c r="AA141" s="69" t="str">
        <f t="shared" si="112"/>
        <v/>
      </c>
      <c r="AB141" s="31"/>
      <c r="AC141" s="78" t="str">
        <f t="shared" si="113"/>
        <v/>
      </c>
      <c r="AD141" s="69" t="str">
        <f t="shared" si="114"/>
        <v/>
      </c>
      <c r="AE141" s="31"/>
      <c r="AF141" s="78" t="str">
        <f t="shared" si="115"/>
        <v/>
      </c>
      <c r="AG141" s="69" t="str">
        <f t="shared" si="116"/>
        <v/>
      </c>
      <c r="AH141" s="31"/>
      <c r="AI141" s="78" t="str">
        <f t="shared" si="117"/>
        <v/>
      </c>
      <c r="AJ141" s="69" t="str">
        <f t="shared" si="118"/>
        <v/>
      </c>
      <c r="AK14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1" s="78" t="str">
        <f t="shared" si="119"/>
        <v/>
      </c>
      <c r="AM14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2" spans="1:39" outlineLevel="1" x14ac:dyDescent="0.25">
      <c r="A142" s="73" t="s">
        <v>265</v>
      </c>
      <c r="B142" s="31"/>
      <c r="C142" s="78" t="str">
        <f t="shared" si="96"/>
        <v/>
      </c>
      <c r="D142" s="31"/>
      <c r="E142" s="78" t="str">
        <f t="shared" si="97"/>
        <v/>
      </c>
      <c r="F142" s="69" t="str">
        <f t="shared" si="98"/>
        <v/>
      </c>
      <c r="G142" s="31"/>
      <c r="H142" s="78" t="str">
        <f t="shared" si="99"/>
        <v/>
      </c>
      <c r="I142" s="69" t="str">
        <f t="shared" si="100"/>
        <v/>
      </c>
      <c r="J142" s="31"/>
      <c r="K142" s="78" t="str">
        <f t="shared" si="101"/>
        <v/>
      </c>
      <c r="L142" s="69" t="str">
        <f t="shared" si="102"/>
        <v/>
      </c>
      <c r="M142" s="31"/>
      <c r="N142" s="78" t="str">
        <f t="shared" si="103"/>
        <v/>
      </c>
      <c r="O142" s="69" t="str">
        <f t="shared" si="104"/>
        <v/>
      </c>
      <c r="P142" s="31"/>
      <c r="Q142" s="78" t="str">
        <f t="shared" si="105"/>
        <v/>
      </c>
      <c r="R142" s="69" t="str">
        <f t="shared" si="106"/>
        <v/>
      </c>
      <c r="S142" s="31"/>
      <c r="T142" s="78" t="str">
        <f t="shared" si="107"/>
        <v/>
      </c>
      <c r="U142" s="69" t="str">
        <f t="shared" si="108"/>
        <v/>
      </c>
      <c r="V142" s="31"/>
      <c r="W142" s="78" t="str">
        <f t="shared" si="109"/>
        <v/>
      </c>
      <c r="X142" s="69" t="str">
        <f t="shared" si="110"/>
        <v/>
      </c>
      <c r="Y142" s="31"/>
      <c r="Z142" s="78" t="str">
        <f t="shared" si="111"/>
        <v/>
      </c>
      <c r="AA142" s="69" t="str">
        <f t="shared" si="112"/>
        <v/>
      </c>
      <c r="AB142" s="31"/>
      <c r="AC142" s="78" t="str">
        <f t="shared" si="113"/>
        <v/>
      </c>
      <c r="AD142" s="69" t="str">
        <f t="shared" si="114"/>
        <v/>
      </c>
      <c r="AE142" s="31"/>
      <c r="AF142" s="78" t="str">
        <f t="shared" si="115"/>
        <v/>
      </c>
      <c r="AG142" s="69" t="str">
        <f t="shared" si="116"/>
        <v/>
      </c>
      <c r="AH142" s="31"/>
      <c r="AI142" s="78" t="str">
        <f t="shared" si="117"/>
        <v/>
      </c>
      <c r="AJ142" s="69" t="str">
        <f t="shared" si="118"/>
        <v/>
      </c>
      <c r="AK14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2" s="78" t="str">
        <f t="shared" si="119"/>
        <v/>
      </c>
      <c r="AM14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3" spans="1:39" outlineLevel="1" x14ac:dyDescent="0.25">
      <c r="A143" s="74"/>
      <c r="B143" s="31"/>
      <c r="C143" s="78" t="str">
        <f t="shared" si="96"/>
        <v/>
      </c>
      <c r="D143" s="31"/>
      <c r="E143" s="78" t="str">
        <f t="shared" si="97"/>
        <v/>
      </c>
      <c r="F143" s="69" t="str">
        <f t="shared" si="98"/>
        <v/>
      </c>
      <c r="G143" s="31"/>
      <c r="H143" s="78" t="str">
        <f t="shared" si="99"/>
        <v/>
      </c>
      <c r="I143" s="69" t="str">
        <f t="shared" si="100"/>
        <v/>
      </c>
      <c r="J143" s="31"/>
      <c r="K143" s="78" t="str">
        <f t="shared" si="101"/>
        <v/>
      </c>
      <c r="L143" s="69" t="str">
        <f t="shared" si="102"/>
        <v/>
      </c>
      <c r="M143" s="31"/>
      <c r="N143" s="78" t="str">
        <f t="shared" si="103"/>
        <v/>
      </c>
      <c r="O143" s="69" t="str">
        <f t="shared" si="104"/>
        <v/>
      </c>
      <c r="P143" s="31"/>
      <c r="Q143" s="78" t="str">
        <f t="shared" si="105"/>
        <v/>
      </c>
      <c r="R143" s="69" t="str">
        <f t="shared" si="106"/>
        <v/>
      </c>
      <c r="S143" s="31"/>
      <c r="T143" s="78" t="str">
        <f t="shared" si="107"/>
        <v/>
      </c>
      <c r="U143" s="69" t="str">
        <f t="shared" si="108"/>
        <v/>
      </c>
      <c r="V143" s="31"/>
      <c r="W143" s="78" t="str">
        <f t="shared" si="109"/>
        <v/>
      </c>
      <c r="X143" s="69" t="str">
        <f t="shared" si="110"/>
        <v/>
      </c>
      <c r="Y143" s="31"/>
      <c r="Z143" s="78" t="str">
        <f t="shared" si="111"/>
        <v/>
      </c>
      <c r="AA143" s="69" t="str">
        <f t="shared" si="112"/>
        <v/>
      </c>
      <c r="AB143" s="31"/>
      <c r="AC143" s="78" t="str">
        <f t="shared" si="113"/>
        <v/>
      </c>
      <c r="AD143" s="69" t="str">
        <f t="shared" si="114"/>
        <v/>
      </c>
      <c r="AE143" s="31"/>
      <c r="AF143" s="78" t="str">
        <f t="shared" si="115"/>
        <v/>
      </c>
      <c r="AG143" s="69" t="str">
        <f t="shared" si="116"/>
        <v/>
      </c>
      <c r="AH143" s="31"/>
      <c r="AI143" s="78" t="str">
        <f t="shared" si="117"/>
        <v/>
      </c>
      <c r="AJ143" s="69" t="str">
        <f t="shared" si="118"/>
        <v/>
      </c>
      <c r="AK14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3" s="78" t="str">
        <f t="shared" si="119"/>
        <v/>
      </c>
      <c r="AM14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4" spans="1:39" outlineLevel="1" x14ac:dyDescent="0.25">
      <c r="A144" s="28" t="s">
        <v>266</v>
      </c>
      <c r="B144" s="29">
        <f>SUM(B145:B148)</f>
        <v>0</v>
      </c>
      <c r="C144" s="77" t="str">
        <f t="shared" si="96"/>
        <v/>
      </c>
      <c r="D144" s="29">
        <f>SUM(D145:D148)</f>
        <v>0</v>
      </c>
      <c r="E144" s="77" t="str">
        <f t="shared" si="97"/>
        <v/>
      </c>
      <c r="F144" s="69" t="str">
        <f t="shared" si="98"/>
        <v/>
      </c>
      <c r="G144" s="29">
        <f>SUM(G145:G148)</f>
        <v>0</v>
      </c>
      <c r="H144" s="77" t="str">
        <f t="shared" si="99"/>
        <v/>
      </c>
      <c r="I144" s="69" t="str">
        <f t="shared" si="100"/>
        <v/>
      </c>
      <c r="J144" s="29">
        <f>SUM(J145:J148)</f>
        <v>0</v>
      </c>
      <c r="K144" s="77" t="str">
        <f t="shared" si="101"/>
        <v/>
      </c>
      <c r="L144" s="69" t="str">
        <f t="shared" si="102"/>
        <v/>
      </c>
      <c r="M144" s="29">
        <f>SUM(M145:M148)</f>
        <v>0</v>
      </c>
      <c r="N144" s="77" t="str">
        <f t="shared" si="103"/>
        <v/>
      </c>
      <c r="O144" s="69" t="str">
        <f t="shared" si="104"/>
        <v/>
      </c>
      <c r="P144" s="29">
        <f>SUM(P145:P148)</f>
        <v>0</v>
      </c>
      <c r="Q144" s="77" t="str">
        <f t="shared" si="105"/>
        <v/>
      </c>
      <c r="R144" s="69" t="str">
        <f t="shared" si="106"/>
        <v/>
      </c>
      <c r="S144" s="29">
        <f>SUM(S145:S148)</f>
        <v>0</v>
      </c>
      <c r="T144" s="77" t="str">
        <f t="shared" si="107"/>
        <v/>
      </c>
      <c r="U144" s="69" t="str">
        <f t="shared" si="108"/>
        <v/>
      </c>
      <c r="V144" s="29">
        <f>SUM(V145:V148)</f>
        <v>0</v>
      </c>
      <c r="W144" s="77" t="str">
        <f t="shared" si="109"/>
        <v/>
      </c>
      <c r="X144" s="69" t="str">
        <f t="shared" si="110"/>
        <v/>
      </c>
      <c r="Y144" s="29">
        <f>SUM(Y145:Y148)</f>
        <v>0</v>
      </c>
      <c r="Z144" s="77" t="str">
        <f t="shared" si="111"/>
        <v/>
      </c>
      <c r="AA144" s="69" t="str">
        <f t="shared" si="112"/>
        <v/>
      </c>
      <c r="AB144" s="29">
        <f>SUM(AB145:AB148)</f>
        <v>0</v>
      </c>
      <c r="AC144" s="77" t="str">
        <f t="shared" si="113"/>
        <v/>
      </c>
      <c r="AD144" s="69" t="str">
        <f t="shared" si="114"/>
        <v/>
      </c>
      <c r="AE144" s="29">
        <f>SUM(AE145:AE148)</f>
        <v>0</v>
      </c>
      <c r="AF144" s="77" t="str">
        <f t="shared" si="115"/>
        <v/>
      </c>
      <c r="AG144" s="69" t="str">
        <f t="shared" si="116"/>
        <v/>
      </c>
      <c r="AH144" s="29">
        <f>SUM(AH145:AH148)</f>
        <v>0</v>
      </c>
      <c r="AI144" s="77" t="str">
        <f t="shared" si="117"/>
        <v/>
      </c>
      <c r="AJ144" s="69" t="str">
        <f t="shared" si="118"/>
        <v/>
      </c>
      <c r="AK144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4" s="77" t="str">
        <f t="shared" si="119"/>
        <v/>
      </c>
      <c r="AM144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45" spans="1:39" outlineLevel="1" x14ac:dyDescent="0.25">
      <c r="A145" s="73" t="s">
        <v>267</v>
      </c>
      <c r="B145" s="31"/>
      <c r="C145" s="78" t="str">
        <f t="shared" si="96"/>
        <v/>
      </c>
      <c r="D145" s="31"/>
      <c r="E145" s="78" t="str">
        <f t="shared" si="97"/>
        <v/>
      </c>
      <c r="F145" s="69" t="str">
        <f t="shared" si="98"/>
        <v/>
      </c>
      <c r="G145" s="31"/>
      <c r="H145" s="78" t="str">
        <f t="shared" si="99"/>
        <v/>
      </c>
      <c r="I145" s="69" t="str">
        <f t="shared" si="100"/>
        <v/>
      </c>
      <c r="J145" s="31"/>
      <c r="K145" s="78" t="str">
        <f t="shared" si="101"/>
        <v/>
      </c>
      <c r="L145" s="69" t="str">
        <f t="shared" si="102"/>
        <v/>
      </c>
      <c r="M145" s="31"/>
      <c r="N145" s="78" t="str">
        <f t="shared" si="103"/>
        <v/>
      </c>
      <c r="O145" s="69" t="str">
        <f t="shared" si="104"/>
        <v/>
      </c>
      <c r="P145" s="31"/>
      <c r="Q145" s="78" t="str">
        <f t="shared" si="105"/>
        <v/>
      </c>
      <c r="R145" s="69" t="str">
        <f t="shared" si="106"/>
        <v/>
      </c>
      <c r="S145" s="31"/>
      <c r="T145" s="78" t="str">
        <f t="shared" si="107"/>
        <v/>
      </c>
      <c r="U145" s="69" t="str">
        <f t="shared" si="108"/>
        <v/>
      </c>
      <c r="V145" s="31"/>
      <c r="W145" s="78" t="str">
        <f t="shared" si="109"/>
        <v/>
      </c>
      <c r="X145" s="69" t="str">
        <f t="shared" si="110"/>
        <v/>
      </c>
      <c r="Y145" s="31"/>
      <c r="Z145" s="78" t="str">
        <f t="shared" si="111"/>
        <v/>
      </c>
      <c r="AA145" s="69" t="str">
        <f t="shared" si="112"/>
        <v/>
      </c>
      <c r="AB145" s="31"/>
      <c r="AC145" s="78" t="str">
        <f t="shared" si="113"/>
        <v/>
      </c>
      <c r="AD145" s="69" t="str">
        <f t="shared" si="114"/>
        <v/>
      </c>
      <c r="AE145" s="31"/>
      <c r="AF145" s="78" t="str">
        <f t="shared" si="115"/>
        <v/>
      </c>
      <c r="AG145" s="69" t="str">
        <f t="shared" si="116"/>
        <v/>
      </c>
      <c r="AH145" s="31"/>
      <c r="AI145" s="78" t="str">
        <f t="shared" si="117"/>
        <v/>
      </c>
      <c r="AJ145" s="69" t="str">
        <f t="shared" si="118"/>
        <v/>
      </c>
      <c r="AK14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5" s="78" t="str">
        <f t="shared" si="119"/>
        <v/>
      </c>
      <c r="AM14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6" spans="1:39" outlineLevel="1" x14ac:dyDescent="0.25">
      <c r="A146" s="73" t="s">
        <v>268</v>
      </c>
      <c r="B146" s="31"/>
      <c r="C146" s="78" t="str">
        <f t="shared" si="96"/>
        <v/>
      </c>
      <c r="D146" s="31"/>
      <c r="E146" s="78" t="str">
        <f t="shared" si="97"/>
        <v/>
      </c>
      <c r="F146" s="69" t="str">
        <f t="shared" si="98"/>
        <v/>
      </c>
      <c r="G146" s="31"/>
      <c r="H146" s="78" t="str">
        <f t="shared" si="99"/>
        <v/>
      </c>
      <c r="I146" s="69" t="str">
        <f t="shared" si="100"/>
        <v/>
      </c>
      <c r="J146" s="31"/>
      <c r="K146" s="78" t="str">
        <f t="shared" si="101"/>
        <v/>
      </c>
      <c r="L146" s="69" t="str">
        <f t="shared" si="102"/>
        <v/>
      </c>
      <c r="M146" s="31"/>
      <c r="N146" s="78" t="str">
        <f t="shared" si="103"/>
        <v/>
      </c>
      <c r="O146" s="69" t="str">
        <f t="shared" si="104"/>
        <v/>
      </c>
      <c r="P146" s="31"/>
      <c r="Q146" s="78" t="str">
        <f t="shared" si="105"/>
        <v/>
      </c>
      <c r="R146" s="69" t="str">
        <f t="shared" si="106"/>
        <v/>
      </c>
      <c r="S146" s="31"/>
      <c r="T146" s="78" t="str">
        <f t="shared" si="107"/>
        <v/>
      </c>
      <c r="U146" s="69" t="str">
        <f t="shared" si="108"/>
        <v/>
      </c>
      <c r="V146" s="31"/>
      <c r="W146" s="78" t="str">
        <f t="shared" si="109"/>
        <v/>
      </c>
      <c r="X146" s="69" t="str">
        <f t="shared" si="110"/>
        <v/>
      </c>
      <c r="Y146" s="31"/>
      <c r="Z146" s="78" t="str">
        <f t="shared" si="111"/>
        <v/>
      </c>
      <c r="AA146" s="69" t="str">
        <f t="shared" si="112"/>
        <v/>
      </c>
      <c r="AB146" s="31"/>
      <c r="AC146" s="78" t="str">
        <f t="shared" si="113"/>
        <v/>
      </c>
      <c r="AD146" s="69" t="str">
        <f t="shared" si="114"/>
        <v/>
      </c>
      <c r="AE146" s="31"/>
      <c r="AF146" s="78" t="str">
        <f t="shared" si="115"/>
        <v/>
      </c>
      <c r="AG146" s="69" t="str">
        <f t="shared" si="116"/>
        <v/>
      </c>
      <c r="AH146" s="31"/>
      <c r="AI146" s="78" t="str">
        <f t="shared" si="117"/>
        <v/>
      </c>
      <c r="AJ146" s="69" t="str">
        <f t="shared" si="118"/>
        <v/>
      </c>
      <c r="AK146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6" s="78" t="str">
        <f t="shared" si="119"/>
        <v/>
      </c>
      <c r="AM146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7" spans="1:39" outlineLevel="1" x14ac:dyDescent="0.25">
      <c r="A147" s="74" t="s">
        <v>269</v>
      </c>
      <c r="B147" s="31"/>
      <c r="C147" s="78" t="str">
        <f t="shared" si="96"/>
        <v/>
      </c>
      <c r="D147" s="31"/>
      <c r="E147" s="78" t="str">
        <f t="shared" si="97"/>
        <v/>
      </c>
      <c r="F147" s="69" t="str">
        <f t="shared" si="98"/>
        <v/>
      </c>
      <c r="G147" s="31"/>
      <c r="H147" s="78" t="str">
        <f t="shared" si="99"/>
        <v/>
      </c>
      <c r="I147" s="69" t="str">
        <f t="shared" si="100"/>
        <v/>
      </c>
      <c r="J147" s="31"/>
      <c r="K147" s="78" t="str">
        <f t="shared" si="101"/>
        <v/>
      </c>
      <c r="L147" s="69" t="str">
        <f t="shared" si="102"/>
        <v/>
      </c>
      <c r="M147" s="31"/>
      <c r="N147" s="78" t="str">
        <f t="shared" si="103"/>
        <v/>
      </c>
      <c r="O147" s="69" t="str">
        <f t="shared" si="104"/>
        <v/>
      </c>
      <c r="P147" s="31"/>
      <c r="Q147" s="78" t="str">
        <f t="shared" si="105"/>
        <v/>
      </c>
      <c r="R147" s="69" t="str">
        <f t="shared" si="106"/>
        <v/>
      </c>
      <c r="S147" s="31"/>
      <c r="T147" s="78" t="str">
        <f t="shared" si="107"/>
        <v/>
      </c>
      <c r="U147" s="69" t="str">
        <f t="shared" si="108"/>
        <v/>
      </c>
      <c r="V147" s="31"/>
      <c r="W147" s="78" t="str">
        <f t="shared" si="109"/>
        <v/>
      </c>
      <c r="X147" s="69" t="str">
        <f t="shared" si="110"/>
        <v/>
      </c>
      <c r="Y147" s="31"/>
      <c r="Z147" s="78" t="str">
        <f t="shared" si="111"/>
        <v/>
      </c>
      <c r="AA147" s="69" t="str">
        <f t="shared" si="112"/>
        <v/>
      </c>
      <c r="AB147" s="31"/>
      <c r="AC147" s="78" t="str">
        <f t="shared" si="113"/>
        <v/>
      </c>
      <c r="AD147" s="69" t="str">
        <f t="shared" si="114"/>
        <v/>
      </c>
      <c r="AE147" s="31"/>
      <c r="AF147" s="78" t="str">
        <f t="shared" si="115"/>
        <v/>
      </c>
      <c r="AG147" s="69" t="str">
        <f t="shared" si="116"/>
        <v/>
      </c>
      <c r="AH147" s="31"/>
      <c r="AI147" s="78" t="str">
        <f t="shared" si="117"/>
        <v/>
      </c>
      <c r="AJ147" s="69" t="str">
        <f t="shared" si="118"/>
        <v/>
      </c>
      <c r="AK14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7" s="78" t="str">
        <f t="shared" si="119"/>
        <v/>
      </c>
      <c r="AM14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8" spans="1:39" outlineLevel="1" x14ac:dyDescent="0.25">
      <c r="A148" s="30"/>
      <c r="B148" s="31"/>
      <c r="C148" s="78" t="str">
        <f t="shared" si="96"/>
        <v/>
      </c>
      <c r="D148" s="31"/>
      <c r="E148" s="78" t="str">
        <f t="shared" si="97"/>
        <v/>
      </c>
      <c r="F148" s="69" t="str">
        <f t="shared" si="98"/>
        <v/>
      </c>
      <c r="G148" s="31"/>
      <c r="H148" s="78" t="str">
        <f t="shared" si="99"/>
        <v/>
      </c>
      <c r="I148" s="69" t="str">
        <f t="shared" si="100"/>
        <v/>
      </c>
      <c r="J148" s="31"/>
      <c r="K148" s="78" t="str">
        <f t="shared" si="101"/>
        <v/>
      </c>
      <c r="L148" s="69" t="str">
        <f t="shared" si="102"/>
        <v/>
      </c>
      <c r="M148" s="31"/>
      <c r="N148" s="78" t="str">
        <f t="shared" si="103"/>
        <v/>
      </c>
      <c r="O148" s="69" t="str">
        <f t="shared" si="104"/>
        <v/>
      </c>
      <c r="P148" s="31"/>
      <c r="Q148" s="78" t="str">
        <f t="shared" si="105"/>
        <v/>
      </c>
      <c r="R148" s="69" t="str">
        <f t="shared" si="106"/>
        <v/>
      </c>
      <c r="S148" s="31"/>
      <c r="T148" s="78" t="str">
        <f t="shared" si="107"/>
        <v/>
      </c>
      <c r="U148" s="69" t="str">
        <f t="shared" si="108"/>
        <v/>
      </c>
      <c r="V148" s="31"/>
      <c r="W148" s="78" t="str">
        <f t="shared" si="109"/>
        <v/>
      </c>
      <c r="X148" s="69" t="str">
        <f t="shared" si="110"/>
        <v/>
      </c>
      <c r="Y148" s="31"/>
      <c r="Z148" s="78" t="str">
        <f t="shared" si="111"/>
        <v/>
      </c>
      <c r="AA148" s="69" t="str">
        <f t="shared" si="112"/>
        <v/>
      </c>
      <c r="AB148" s="31"/>
      <c r="AC148" s="78" t="str">
        <f t="shared" si="113"/>
        <v/>
      </c>
      <c r="AD148" s="69" t="str">
        <f t="shared" si="114"/>
        <v/>
      </c>
      <c r="AE148" s="31"/>
      <c r="AF148" s="78" t="str">
        <f t="shared" si="115"/>
        <v/>
      </c>
      <c r="AG148" s="69" t="str">
        <f t="shared" si="116"/>
        <v/>
      </c>
      <c r="AH148" s="31"/>
      <c r="AI148" s="78" t="str">
        <f t="shared" si="117"/>
        <v/>
      </c>
      <c r="AJ148" s="69" t="str">
        <f t="shared" si="118"/>
        <v/>
      </c>
      <c r="AK14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8" s="78" t="str">
        <f t="shared" si="119"/>
        <v/>
      </c>
      <c r="AM14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49" spans="1:39" x14ac:dyDescent="0.25">
      <c r="A149" s="26" t="s">
        <v>270</v>
      </c>
      <c r="B149" s="27">
        <f>B85-B86-B105</f>
        <v>0</v>
      </c>
      <c r="C149" s="76" t="str">
        <f t="shared" si="96"/>
        <v/>
      </c>
      <c r="D149" s="27">
        <f>D85-D86-D105</f>
        <v>0</v>
      </c>
      <c r="E149" s="76" t="str">
        <f t="shared" si="97"/>
        <v/>
      </c>
      <c r="F149" s="69" t="str">
        <f t="shared" si="98"/>
        <v/>
      </c>
      <c r="G149" s="27">
        <f>G85-G86-G105</f>
        <v>0</v>
      </c>
      <c r="H149" s="76" t="str">
        <f t="shared" si="99"/>
        <v/>
      </c>
      <c r="I149" s="69" t="str">
        <f t="shared" si="100"/>
        <v/>
      </c>
      <c r="J149" s="27">
        <f>J85-J86-J105</f>
        <v>0</v>
      </c>
      <c r="K149" s="76" t="str">
        <f t="shared" si="101"/>
        <v/>
      </c>
      <c r="L149" s="69" t="str">
        <f t="shared" si="102"/>
        <v/>
      </c>
      <c r="M149" s="27">
        <f>M85-M86-M105</f>
        <v>0</v>
      </c>
      <c r="N149" s="76" t="str">
        <f t="shared" si="103"/>
        <v/>
      </c>
      <c r="O149" s="69" t="str">
        <f t="shared" si="104"/>
        <v/>
      </c>
      <c r="P149" s="27">
        <f>P85-P86-P105</f>
        <v>0</v>
      </c>
      <c r="Q149" s="76" t="str">
        <f t="shared" si="105"/>
        <v/>
      </c>
      <c r="R149" s="69" t="str">
        <f t="shared" si="106"/>
        <v/>
      </c>
      <c r="S149" s="27">
        <f>S85-S86-S105</f>
        <v>0</v>
      </c>
      <c r="T149" s="76" t="str">
        <f t="shared" si="107"/>
        <v/>
      </c>
      <c r="U149" s="69" t="str">
        <f t="shared" si="108"/>
        <v/>
      </c>
      <c r="V149" s="27">
        <f>V85-V86-V105</f>
        <v>0</v>
      </c>
      <c r="W149" s="76" t="str">
        <f t="shared" si="109"/>
        <v/>
      </c>
      <c r="X149" s="69" t="str">
        <f t="shared" si="110"/>
        <v/>
      </c>
      <c r="Y149" s="27">
        <f>Y85-Y86-Y105</f>
        <v>0</v>
      </c>
      <c r="Z149" s="76" t="str">
        <f t="shared" si="111"/>
        <v/>
      </c>
      <c r="AA149" s="69" t="str">
        <f t="shared" si="112"/>
        <v/>
      </c>
      <c r="AB149" s="27">
        <f>AB85-AB86-AB105</f>
        <v>0</v>
      </c>
      <c r="AC149" s="76" t="str">
        <f t="shared" si="113"/>
        <v/>
      </c>
      <c r="AD149" s="69" t="str">
        <f t="shared" si="114"/>
        <v/>
      </c>
      <c r="AE149" s="27">
        <f>AE85-AE86-AE105</f>
        <v>0</v>
      </c>
      <c r="AF149" s="76" t="str">
        <f t="shared" si="115"/>
        <v/>
      </c>
      <c r="AG149" s="69" t="str">
        <f t="shared" si="116"/>
        <v/>
      </c>
      <c r="AH149" s="27">
        <f>AH85-AH86-AH105</f>
        <v>0</v>
      </c>
      <c r="AI149" s="76" t="str">
        <f t="shared" si="117"/>
        <v/>
      </c>
      <c r="AJ149" s="69" t="str">
        <f t="shared" si="118"/>
        <v/>
      </c>
      <c r="AK149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49" s="76" t="str">
        <f t="shared" si="119"/>
        <v/>
      </c>
      <c r="AM149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50" spans="1:39" x14ac:dyDescent="0.25">
      <c r="A150" s="26" t="s">
        <v>271</v>
      </c>
      <c r="B150" s="27">
        <f>B151-B156</f>
        <v>0</v>
      </c>
      <c r="C150" s="76" t="str">
        <f t="shared" si="96"/>
        <v/>
      </c>
      <c r="D150" s="27">
        <f>D151-D156</f>
        <v>0</v>
      </c>
      <c r="E150" s="76" t="str">
        <f t="shared" si="97"/>
        <v/>
      </c>
      <c r="F150" s="69" t="str">
        <f t="shared" si="98"/>
        <v/>
      </c>
      <c r="G150" s="27">
        <f>G151-G156</f>
        <v>0</v>
      </c>
      <c r="H150" s="76" t="str">
        <f t="shared" si="99"/>
        <v/>
      </c>
      <c r="I150" s="69" t="str">
        <f t="shared" si="100"/>
        <v/>
      </c>
      <c r="J150" s="27">
        <f>J151-J156</f>
        <v>0</v>
      </c>
      <c r="K150" s="76" t="str">
        <f t="shared" si="101"/>
        <v/>
      </c>
      <c r="L150" s="69" t="str">
        <f t="shared" si="102"/>
        <v/>
      </c>
      <c r="M150" s="27">
        <f>M151-M156</f>
        <v>0</v>
      </c>
      <c r="N150" s="76" t="str">
        <f t="shared" si="103"/>
        <v/>
      </c>
      <c r="O150" s="69" t="str">
        <f t="shared" si="104"/>
        <v/>
      </c>
      <c r="P150" s="27">
        <f>P151-P156</f>
        <v>0</v>
      </c>
      <c r="Q150" s="76" t="str">
        <f t="shared" si="105"/>
        <v/>
      </c>
      <c r="R150" s="69" t="str">
        <f t="shared" si="106"/>
        <v/>
      </c>
      <c r="S150" s="27">
        <f>S151-S156</f>
        <v>0</v>
      </c>
      <c r="T150" s="76" t="str">
        <f t="shared" si="107"/>
        <v/>
      </c>
      <c r="U150" s="69" t="str">
        <f t="shared" si="108"/>
        <v/>
      </c>
      <c r="V150" s="27">
        <f>V151-V156</f>
        <v>0</v>
      </c>
      <c r="W150" s="76" t="str">
        <f t="shared" si="109"/>
        <v/>
      </c>
      <c r="X150" s="69" t="str">
        <f t="shared" si="110"/>
        <v/>
      </c>
      <c r="Y150" s="27">
        <f>Y151-Y156</f>
        <v>0</v>
      </c>
      <c r="Z150" s="76" t="str">
        <f t="shared" si="111"/>
        <v/>
      </c>
      <c r="AA150" s="69" t="str">
        <f t="shared" si="112"/>
        <v/>
      </c>
      <c r="AB150" s="27">
        <f>AB151-AB156</f>
        <v>0</v>
      </c>
      <c r="AC150" s="76" t="str">
        <f t="shared" si="113"/>
        <v/>
      </c>
      <c r="AD150" s="69" t="str">
        <f t="shared" si="114"/>
        <v/>
      </c>
      <c r="AE150" s="27">
        <f>AE151-AE156</f>
        <v>0</v>
      </c>
      <c r="AF150" s="76" t="str">
        <f t="shared" si="115"/>
        <v/>
      </c>
      <c r="AG150" s="69" t="str">
        <f t="shared" si="116"/>
        <v/>
      </c>
      <c r="AH150" s="27">
        <f>AH151-AH156</f>
        <v>0</v>
      </c>
      <c r="AI150" s="76" t="str">
        <f t="shared" si="117"/>
        <v/>
      </c>
      <c r="AJ150" s="69" t="str">
        <f t="shared" si="118"/>
        <v/>
      </c>
      <c r="AK150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0" s="76" t="str">
        <f t="shared" si="119"/>
        <v/>
      </c>
      <c r="AM150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51" spans="1:39" outlineLevel="1" x14ac:dyDescent="0.25">
      <c r="A151" s="28" t="s">
        <v>272</v>
      </c>
      <c r="B151" s="29">
        <f>SUM(B152:B161)</f>
        <v>0</v>
      </c>
      <c r="C151" s="77" t="str">
        <f t="shared" si="96"/>
        <v/>
      </c>
      <c r="D151" s="29">
        <f>SUM(D152:D161)</f>
        <v>0</v>
      </c>
      <c r="E151" s="77" t="str">
        <f t="shared" si="97"/>
        <v/>
      </c>
      <c r="F151" s="69" t="str">
        <f t="shared" si="98"/>
        <v/>
      </c>
      <c r="G151" s="29">
        <f>SUM(G152:G161)</f>
        <v>0</v>
      </c>
      <c r="H151" s="77" t="str">
        <f t="shared" si="99"/>
        <v/>
      </c>
      <c r="I151" s="69" t="str">
        <f t="shared" si="100"/>
        <v/>
      </c>
      <c r="J151" s="29">
        <f>SUM(J152:J161)</f>
        <v>0</v>
      </c>
      <c r="K151" s="77" t="str">
        <f t="shared" si="101"/>
        <v/>
      </c>
      <c r="L151" s="69" t="str">
        <f t="shared" si="102"/>
        <v/>
      </c>
      <c r="M151" s="29">
        <f>SUM(M152:M161)</f>
        <v>0</v>
      </c>
      <c r="N151" s="77" t="str">
        <f t="shared" si="103"/>
        <v/>
      </c>
      <c r="O151" s="69" t="str">
        <f t="shared" si="104"/>
        <v/>
      </c>
      <c r="P151" s="29">
        <f>SUM(P152:P161)</f>
        <v>0</v>
      </c>
      <c r="Q151" s="77" t="str">
        <f t="shared" si="105"/>
        <v/>
      </c>
      <c r="R151" s="69" t="str">
        <f t="shared" si="106"/>
        <v/>
      </c>
      <c r="S151" s="29">
        <f>SUM(S152:S161)</f>
        <v>0</v>
      </c>
      <c r="T151" s="77" t="str">
        <f t="shared" si="107"/>
        <v/>
      </c>
      <c r="U151" s="69" t="str">
        <f t="shared" si="108"/>
        <v/>
      </c>
      <c r="V151" s="29">
        <f>SUM(V152:V161)</f>
        <v>0</v>
      </c>
      <c r="W151" s="77" t="str">
        <f t="shared" si="109"/>
        <v/>
      </c>
      <c r="X151" s="69" t="str">
        <f t="shared" si="110"/>
        <v/>
      </c>
      <c r="Y151" s="29">
        <f>SUM(Y152:Y161)</f>
        <v>0</v>
      </c>
      <c r="Z151" s="77" t="str">
        <f t="shared" si="111"/>
        <v/>
      </c>
      <c r="AA151" s="69" t="str">
        <f t="shared" si="112"/>
        <v/>
      </c>
      <c r="AB151" s="29">
        <f>SUM(AB152:AB161)</f>
        <v>0</v>
      </c>
      <c r="AC151" s="77" t="str">
        <f t="shared" si="113"/>
        <v/>
      </c>
      <c r="AD151" s="69" t="str">
        <f t="shared" si="114"/>
        <v/>
      </c>
      <c r="AE151" s="29">
        <f>SUM(AE152:AE161)</f>
        <v>0</v>
      </c>
      <c r="AF151" s="77" t="str">
        <f t="shared" si="115"/>
        <v/>
      </c>
      <c r="AG151" s="69" t="str">
        <f t="shared" si="116"/>
        <v/>
      </c>
      <c r="AH151" s="29">
        <f>SUM(AH152:AH161)</f>
        <v>0</v>
      </c>
      <c r="AI151" s="77" t="str">
        <f t="shared" si="117"/>
        <v/>
      </c>
      <c r="AJ151" s="69" t="str">
        <f t="shared" si="118"/>
        <v/>
      </c>
      <c r="AK151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1" s="77" t="str">
        <f t="shared" si="119"/>
        <v/>
      </c>
      <c r="AM151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52" spans="1:39" outlineLevel="1" x14ac:dyDescent="0.25">
      <c r="A152" s="30" t="s">
        <v>273</v>
      </c>
      <c r="B152" s="31"/>
      <c r="C152" s="78" t="str">
        <f t="shared" si="96"/>
        <v/>
      </c>
      <c r="D152" s="31"/>
      <c r="E152" s="78" t="str">
        <f t="shared" si="97"/>
        <v/>
      </c>
      <c r="F152" s="69" t="str">
        <f t="shared" si="98"/>
        <v/>
      </c>
      <c r="G152" s="31"/>
      <c r="H152" s="78" t="str">
        <f t="shared" si="99"/>
        <v/>
      </c>
      <c r="I152" s="69" t="str">
        <f t="shared" si="100"/>
        <v/>
      </c>
      <c r="J152" s="31"/>
      <c r="K152" s="78" t="str">
        <f t="shared" si="101"/>
        <v/>
      </c>
      <c r="L152" s="69" t="str">
        <f t="shared" si="102"/>
        <v/>
      </c>
      <c r="M152" s="31"/>
      <c r="N152" s="78" t="str">
        <f t="shared" si="103"/>
        <v/>
      </c>
      <c r="O152" s="69" t="str">
        <f t="shared" si="104"/>
        <v/>
      </c>
      <c r="P152" s="31"/>
      <c r="Q152" s="78" t="str">
        <f t="shared" si="105"/>
        <v/>
      </c>
      <c r="R152" s="69" t="str">
        <f t="shared" si="106"/>
        <v/>
      </c>
      <c r="S152" s="31"/>
      <c r="T152" s="78" t="str">
        <f t="shared" si="107"/>
        <v/>
      </c>
      <c r="U152" s="69" t="str">
        <f t="shared" si="108"/>
        <v/>
      </c>
      <c r="V152" s="31"/>
      <c r="W152" s="78" t="str">
        <f t="shared" si="109"/>
        <v/>
      </c>
      <c r="X152" s="69" t="str">
        <f t="shared" si="110"/>
        <v/>
      </c>
      <c r="Y152" s="31"/>
      <c r="Z152" s="78" t="str">
        <f t="shared" si="111"/>
        <v/>
      </c>
      <c r="AA152" s="69" t="str">
        <f t="shared" si="112"/>
        <v/>
      </c>
      <c r="AB152" s="31"/>
      <c r="AC152" s="78" t="str">
        <f t="shared" si="113"/>
        <v/>
      </c>
      <c r="AD152" s="69" t="str">
        <f t="shared" si="114"/>
        <v/>
      </c>
      <c r="AE152" s="31"/>
      <c r="AF152" s="78" t="str">
        <f t="shared" si="115"/>
        <v/>
      </c>
      <c r="AG152" s="69" t="str">
        <f t="shared" si="116"/>
        <v/>
      </c>
      <c r="AH152" s="31"/>
      <c r="AI152" s="78" t="str">
        <f t="shared" si="117"/>
        <v/>
      </c>
      <c r="AJ152" s="69" t="str">
        <f t="shared" si="118"/>
        <v/>
      </c>
      <c r="AK15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2" s="78" t="str">
        <f t="shared" si="119"/>
        <v/>
      </c>
      <c r="AM15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53" spans="1:39" outlineLevel="1" x14ac:dyDescent="0.25">
      <c r="A153" s="30" t="s">
        <v>274</v>
      </c>
      <c r="B153" s="31"/>
      <c r="C153" s="78" t="str">
        <f t="shared" si="96"/>
        <v/>
      </c>
      <c r="D153" s="31"/>
      <c r="E153" s="78" t="str">
        <f t="shared" si="97"/>
        <v/>
      </c>
      <c r="F153" s="69" t="str">
        <f t="shared" si="98"/>
        <v/>
      </c>
      <c r="G153" s="31"/>
      <c r="H153" s="78" t="str">
        <f t="shared" si="99"/>
        <v/>
      </c>
      <c r="I153" s="69" t="str">
        <f t="shared" si="100"/>
        <v/>
      </c>
      <c r="J153" s="31"/>
      <c r="K153" s="78" t="str">
        <f t="shared" si="101"/>
        <v/>
      </c>
      <c r="L153" s="69" t="str">
        <f t="shared" si="102"/>
        <v/>
      </c>
      <c r="M153" s="31"/>
      <c r="N153" s="78" t="str">
        <f t="shared" si="103"/>
        <v/>
      </c>
      <c r="O153" s="69" t="str">
        <f t="shared" si="104"/>
        <v/>
      </c>
      <c r="P153" s="31"/>
      <c r="Q153" s="78" t="str">
        <f t="shared" si="105"/>
        <v/>
      </c>
      <c r="R153" s="69" t="str">
        <f t="shared" si="106"/>
        <v/>
      </c>
      <c r="S153" s="31"/>
      <c r="T153" s="78" t="str">
        <f t="shared" si="107"/>
        <v/>
      </c>
      <c r="U153" s="69" t="str">
        <f t="shared" si="108"/>
        <v/>
      </c>
      <c r="V153" s="31"/>
      <c r="W153" s="78" t="str">
        <f t="shared" si="109"/>
        <v/>
      </c>
      <c r="X153" s="69" t="str">
        <f t="shared" si="110"/>
        <v/>
      </c>
      <c r="Y153" s="31"/>
      <c r="Z153" s="78" t="str">
        <f t="shared" si="111"/>
        <v/>
      </c>
      <c r="AA153" s="69" t="str">
        <f t="shared" si="112"/>
        <v/>
      </c>
      <c r="AB153" s="31"/>
      <c r="AC153" s="78" t="str">
        <f t="shared" si="113"/>
        <v/>
      </c>
      <c r="AD153" s="69" t="str">
        <f t="shared" si="114"/>
        <v/>
      </c>
      <c r="AE153" s="31"/>
      <c r="AF153" s="78" t="str">
        <f t="shared" si="115"/>
        <v/>
      </c>
      <c r="AG153" s="69" t="str">
        <f t="shared" si="116"/>
        <v/>
      </c>
      <c r="AH153" s="31"/>
      <c r="AI153" s="78" t="str">
        <f t="shared" si="117"/>
        <v/>
      </c>
      <c r="AJ153" s="69" t="str">
        <f t="shared" si="118"/>
        <v/>
      </c>
      <c r="AK15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3" s="78" t="str">
        <f t="shared" si="119"/>
        <v/>
      </c>
      <c r="AM15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54" spans="1:39" outlineLevel="1" x14ac:dyDescent="0.25">
      <c r="A154" s="30" t="s">
        <v>275</v>
      </c>
      <c r="B154" s="31"/>
      <c r="C154" s="78" t="str">
        <f t="shared" si="96"/>
        <v/>
      </c>
      <c r="D154" s="31"/>
      <c r="E154" s="78" t="str">
        <f t="shared" si="97"/>
        <v/>
      </c>
      <c r="F154" s="69" t="str">
        <f t="shared" si="98"/>
        <v/>
      </c>
      <c r="G154" s="31"/>
      <c r="H154" s="78" t="str">
        <f t="shared" si="99"/>
        <v/>
      </c>
      <c r="I154" s="69" t="str">
        <f t="shared" si="100"/>
        <v/>
      </c>
      <c r="J154" s="31"/>
      <c r="K154" s="78" t="str">
        <f t="shared" si="101"/>
        <v/>
      </c>
      <c r="L154" s="69" t="str">
        <f t="shared" si="102"/>
        <v/>
      </c>
      <c r="M154" s="31"/>
      <c r="N154" s="78" t="str">
        <f t="shared" si="103"/>
        <v/>
      </c>
      <c r="O154" s="69" t="str">
        <f t="shared" si="104"/>
        <v/>
      </c>
      <c r="P154" s="31"/>
      <c r="Q154" s="78" t="str">
        <f t="shared" si="105"/>
        <v/>
      </c>
      <c r="R154" s="69" t="str">
        <f t="shared" si="106"/>
        <v/>
      </c>
      <c r="S154" s="31"/>
      <c r="T154" s="78" t="str">
        <f t="shared" si="107"/>
        <v/>
      </c>
      <c r="U154" s="69" t="str">
        <f t="shared" si="108"/>
        <v/>
      </c>
      <c r="V154" s="31"/>
      <c r="W154" s="78" t="str">
        <f t="shared" si="109"/>
        <v/>
      </c>
      <c r="X154" s="69" t="str">
        <f t="shared" si="110"/>
        <v/>
      </c>
      <c r="Y154" s="31"/>
      <c r="Z154" s="78" t="str">
        <f t="shared" si="111"/>
        <v/>
      </c>
      <c r="AA154" s="69" t="str">
        <f t="shared" si="112"/>
        <v/>
      </c>
      <c r="AB154" s="31"/>
      <c r="AC154" s="78" t="str">
        <f t="shared" si="113"/>
        <v/>
      </c>
      <c r="AD154" s="69" t="str">
        <f t="shared" si="114"/>
        <v/>
      </c>
      <c r="AE154" s="31"/>
      <c r="AF154" s="78" t="str">
        <f t="shared" si="115"/>
        <v/>
      </c>
      <c r="AG154" s="69" t="str">
        <f t="shared" si="116"/>
        <v/>
      </c>
      <c r="AH154" s="31"/>
      <c r="AI154" s="78" t="str">
        <f t="shared" si="117"/>
        <v/>
      </c>
      <c r="AJ154" s="69" t="str">
        <f t="shared" si="118"/>
        <v/>
      </c>
      <c r="AK15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4" s="78" t="str">
        <f t="shared" si="119"/>
        <v/>
      </c>
      <c r="AM15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55" spans="1:39" outlineLevel="1" x14ac:dyDescent="0.25">
      <c r="A155" s="30"/>
      <c r="B155" s="31"/>
      <c r="C155" s="78" t="str">
        <f t="shared" si="96"/>
        <v/>
      </c>
      <c r="D155" s="31"/>
      <c r="E155" s="78" t="str">
        <f t="shared" si="97"/>
        <v/>
      </c>
      <c r="F155" s="69" t="str">
        <f t="shared" si="98"/>
        <v/>
      </c>
      <c r="G155" s="31"/>
      <c r="H155" s="78" t="str">
        <f t="shared" si="99"/>
        <v/>
      </c>
      <c r="I155" s="69" t="str">
        <f t="shared" si="100"/>
        <v/>
      </c>
      <c r="J155" s="31"/>
      <c r="K155" s="78" t="str">
        <f t="shared" si="101"/>
        <v/>
      </c>
      <c r="L155" s="69" t="str">
        <f t="shared" si="102"/>
        <v/>
      </c>
      <c r="M155" s="31"/>
      <c r="N155" s="78" t="str">
        <f t="shared" si="103"/>
        <v/>
      </c>
      <c r="O155" s="69" t="str">
        <f t="shared" si="104"/>
        <v/>
      </c>
      <c r="P155" s="31"/>
      <c r="Q155" s="78" t="str">
        <f t="shared" si="105"/>
        <v/>
      </c>
      <c r="R155" s="69" t="str">
        <f t="shared" si="106"/>
        <v/>
      </c>
      <c r="S155" s="31"/>
      <c r="T155" s="78" t="str">
        <f t="shared" si="107"/>
        <v/>
      </c>
      <c r="U155" s="69" t="str">
        <f t="shared" si="108"/>
        <v/>
      </c>
      <c r="V155" s="31"/>
      <c r="W155" s="78" t="str">
        <f t="shared" si="109"/>
        <v/>
      </c>
      <c r="X155" s="69" t="str">
        <f t="shared" si="110"/>
        <v/>
      </c>
      <c r="Y155" s="31"/>
      <c r="Z155" s="78" t="str">
        <f t="shared" si="111"/>
        <v/>
      </c>
      <c r="AA155" s="69" t="str">
        <f t="shared" si="112"/>
        <v/>
      </c>
      <c r="AB155" s="31"/>
      <c r="AC155" s="78" t="str">
        <f t="shared" si="113"/>
        <v/>
      </c>
      <c r="AD155" s="69" t="str">
        <f t="shared" si="114"/>
        <v/>
      </c>
      <c r="AE155" s="31"/>
      <c r="AF155" s="78" t="str">
        <f t="shared" si="115"/>
        <v/>
      </c>
      <c r="AG155" s="69" t="str">
        <f t="shared" si="116"/>
        <v/>
      </c>
      <c r="AH155" s="31"/>
      <c r="AI155" s="78" t="str">
        <f t="shared" si="117"/>
        <v/>
      </c>
      <c r="AJ155" s="69" t="str">
        <f t="shared" si="118"/>
        <v/>
      </c>
      <c r="AK15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5" s="78" t="str">
        <f t="shared" si="119"/>
        <v/>
      </c>
      <c r="AM15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56" spans="1:39" outlineLevel="1" x14ac:dyDescent="0.25">
      <c r="A156" s="28" t="s">
        <v>276</v>
      </c>
      <c r="B156" s="29">
        <f>SUM(B157:B161)</f>
        <v>0</v>
      </c>
      <c r="C156" s="77" t="str">
        <f t="shared" si="96"/>
        <v/>
      </c>
      <c r="D156" s="29">
        <f>SUM(D157:D161)</f>
        <v>0</v>
      </c>
      <c r="E156" s="77" t="str">
        <f t="shared" si="97"/>
        <v/>
      </c>
      <c r="F156" s="69" t="str">
        <f t="shared" si="98"/>
        <v/>
      </c>
      <c r="G156" s="29">
        <f>SUM(G157:G161)</f>
        <v>0</v>
      </c>
      <c r="H156" s="77" t="str">
        <f t="shared" si="99"/>
        <v/>
      </c>
      <c r="I156" s="69" t="str">
        <f t="shared" si="100"/>
        <v/>
      </c>
      <c r="J156" s="29">
        <f>SUM(J157:J161)</f>
        <v>0</v>
      </c>
      <c r="K156" s="77" t="str">
        <f t="shared" si="101"/>
        <v/>
      </c>
      <c r="L156" s="69" t="str">
        <f t="shared" si="102"/>
        <v/>
      </c>
      <c r="M156" s="29">
        <f>SUM(M157:M161)</f>
        <v>0</v>
      </c>
      <c r="N156" s="77" t="str">
        <f t="shared" si="103"/>
        <v/>
      </c>
      <c r="O156" s="69" t="str">
        <f t="shared" si="104"/>
        <v/>
      </c>
      <c r="P156" s="29">
        <f>SUM(P157:P161)</f>
        <v>0</v>
      </c>
      <c r="Q156" s="77" t="str">
        <f t="shared" si="105"/>
        <v/>
      </c>
      <c r="R156" s="69" t="str">
        <f t="shared" si="106"/>
        <v/>
      </c>
      <c r="S156" s="29">
        <f>SUM(S157:S161)</f>
        <v>0</v>
      </c>
      <c r="T156" s="77" t="str">
        <f t="shared" si="107"/>
        <v/>
      </c>
      <c r="U156" s="69" t="str">
        <f t="shared" si="108"/>
        <v/>
      </c>
      <c r="V156" s="29">
        <f>SUM(V157:V161)</f>
        <v>0</v>
      </c>
      <c r="W156" s="77" t="str">
        <f t="shared" si="109"/>
        <v/>
      </c>
      <c r="X156" s="69" t="str">
        <f t="shared" si="110"/>
        <v/>
      </c>
      <c r="Y156" s="29">
        <f>SUM(Y157:Y161)</f>
        <v>0</v>
      </c>
      <c r="Z156" s="77" t="str">
        <f t="shared" si="111"/>
        <v/>
      </c>
      <c r="AA156" s="69" t="str">
        <f t="shared" si="112"/>
        <v/>
      </c>
      <c r="AB156" s="29">
        <f>SUM(AB157:AB161)</f>
        <v>0</v>
      </c>
      <c r="AC156" s="77" t="str">
        <f t="shared" si="113"/>
        <v/>
      </c>
      <c r="AD156" s="69" t="str">
        <f t="shared" si="114"/>
        <v/>
      </c>
      <c r="AE156" s="29">
        <f>SUM(AE157:AE161)</f>
        <v>0</v>
      </c>
      <c r="AF156" s="77" t="str">
        <f t="shared" si="115"/>
        <v/>
      </c>
      <c r="AG156" s="69" t="str">
        <f t="shared" si="116"/>
        <v/>
      </c>
      <c r="AH156" s="29">
        <f>SUM(AH157:AH161)</f>
        <v>0</v>
      </c>
      <c r="AI156" s="77" t="str">
        <f t="shared" si="117"/>
        <v/>
      </c>
      <c r="AJ156" s="69" t="str">
        <f t="shared" si="118"/>
        <v/>
      </c>
      <c r="AK156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6" s="77" t="str">
        <f t="shared" si="119"/>
        <v/>
      </c>
      <c r="AM156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57" spans="1:39" outlineLevel="1" x14ac:dyDescent="0.25">
      <c r="A157" s="30" t="s">
        <v>277</v>
      </c>
      <c r="B157" s="31"/>
      <c r="C157" s="78" t="str">
        <f t="shared" si="96"/>
        <v/>
      </c>
      <c r="D157" s="31"/>
      <c r="E157" s="78" t="str">
        <f t="shared" si="97"/>
        <v/>
      </c>
      <c r="F157" s="69" t="str">
        <f t="shared" si="98"/>
        <v/>
      </c>
      <c r="G157" s="31"/>
      <c r="H157" s="78" t="str">
        <f t="shared" si="99"/>
        <v/>
      </c>
      <c r="I157" s="69" t="str">
        <f t="shared" si="100"/>
        <v/>
      </c>
      <c r="J157" s="31"/>
      <c r="K157" s="78" t="str">
        <f t="shared" si="101"/>
        <v/>
      </c>
      <c r="L157" s="69" t="str">
        <f t="shared" si="102"/>
        <v/>
      </c>
      <c r="M157" s="31"/>
      <c r="N157" s="78" t="str">
        <f t="shared" si="103"/>
        <v/>
      </c>
      <c r="O157" s="69" t="str">
        <f t="shared" si="104"/>
        <v/>
      </c>
      <c r="P157" s="31"/>
      <c r="Q157" s="78" t="str">
        <f t="shared" si="105"/>
        <v/>
      </c>
      <c r="R157" s="69" t="str">
        <f t="shared" si="106"/>
        <v/>
      </c>
      <c r="S157" s="31"/>
      <c r="T157" s="78" t="str">
        <f t="shared" si="107"/>
        <v/>
      </c>
      <c r="U157" s="69" t="str">
        <f t="shared" si="108"/>
        <v/>
      </c>
      <c r="V157" s="31"/>
      <c r="W157" s="78" t="str">
        <f t="shared" si="109"/>
        <v/>
      </c>
      <c r="X157" s="69" t="str">
        <f t="shared" si="110"/>
        <v/>
      </c>
      <c r="Y157" s="31"/>
      <c r="Z157" s="78" t="str">
        <f t="shared" si="111"/>
        <v/>
      </c>
      <c r="AA157" s="69" t="str">
        <f t="shared" si="112"/>
        <v/>
      </c>
      <c r="AB157" s="31"/>
      <c r="AC157" s="78" t="str">
        <f t="shared" si="113"/>
        <v/>
      </c>
      <c r="AD157" s="69" t="str">
        <f t="shared" si="114"/>
        <v/>
      </c>
      <c r="AE157" s="31"/>
      <c r="AF157" s="78" t="str">
        <f t="shared" si="115"/>
        <v/>
      </c>
      <c r="AG157" s="69" t="str">
        <f t="shared" si="116"/>
        <v/>
      </c>
      <c r="AH157" s="31"/>
      <c r="AI157" s="78" t="str">
        <f t="shared" si="117"/>
        <v/>
      </c>
      <c r="AJ157" s="69" t="str">
        <f t="shared" si="118"/>
        <v/>
      </c>
      <c r="AK15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7" s="78" t="str">
        <f t="shared" si="119"/>
        <v/>
      </c>
      <c r="AM15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58" spans="1:39" outlineLevel="1" x14ac:dyDescent="0.25">
      <c r="A158" s="30" t="s">
        <v>278</v>
      </c>
      <c r="B158" s="31"/>
      <c r="C158" s="78" t="str">
        <f t="shared" si="96"/>
        <v/>
      </c>
      <c r="D158" s="31"/>
      <c r="E158" s="78" t="str">
        <f t="shared" si="97"/>
        <v/>
      </c>
      <c r="F158" s="69" t="str">
        <f t="shared" si="98"/>
        <v/>
      </c>
      <c r="G158" s="31"/>
      <c r="H158" s="78" t="str">
        <f t="shared" si="99"/>
        <v/>
      </c>
      <c r="I158" s="69" t="str">
        <f t="shared" si="100"/>
        <v/>
      </c>
      <c r="J158" s="31"/>
      <c r="K158" s="78" t="str">
        <f t="shared" si="101"/>
        <v/>
      </c>
      <c r="L158" s="69" t="str">
        <f t="shared" si="102"/>
        <v/>
      </c>
      <c r="M158" s="31"/>
      <c r="N158" s="78" t="str">
        <f t="shared" si="103"/>
        <v/>
      </c>
      <c r="O158" s="69" t="str">
        <f t="shared" si="104"/>
        <v/>
      </c>
      <c r="P158" s="31"/>
      <c r="Q158" s="78" t="str">
        <f t="shared" si="105"/>
        <v/>
      </c>
      <c r="R158" s="69" t="str">
        <f t="shared" si="106"/>
        <v/>
      </c>
      <c r="S158" s="31"/>
      <c r="T158" s="78" t="str">
        <f t="shared" si="107"/>
        <v/>
      </c>
      <c r="U158" s="69" t="str">
        <f t="shared" si="108"/>
        <v/>
      </c>
      <c r="V158" s="31"/>
      <c r="W158" s="78" t="str">
        <f t="shared" si="109"/>
        <v/>
      </c>
      <c r="X158" s="69" t="str">
        <f t="shared" si="110"/>
        <v/>
      </c>
      <c r="Y158" s="31"/>
      <c r="Z158" s="78" t="str">
        <f t="shared" si="111"/>
        <v/>
      </c>
      <c r="AA158" s="69" t="str">
        <f t="shared" si="112"/>
        <v/>
      </c>
      <c r="AB158" s="31"/>
      <c r="AC158" s="78" t="str">
        <f t="shared" si="113"/>
        <v/>
      </c>
      <c r="AD158" s="69" t="str">
        <f t="shared" si="114"/>
        <v/>
      </c>
      <c r="AE158" s="31"/>
      <c r="AF158" s="78" t="str">
        <f t="shared" si="115"/>
        <v/>
      </c>
      <c r="AG158" s="69" t="str">
        <f t="shared" si="116"/>
        <v/>
      </c>
      <c r="AH158" s="31"/>
      <c r="AI158" s="78" t="str">
        <f t="shared" si="117"/>
        <v/>
      </c>
      <c r="AJ158" s="69" t="str">
        <f t="shared" si="118"/>
        <v/>
      </c>
      <c r="AK15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8" s="78" t="str">
        <f t="shared" si="119"/>
        <v/>
      </c>
      <c r="AM15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59" spans="1:39" outlineLevel="1" x14ac:dyDescent="0.25">
      <c r="A159" s="30" t="s">
        <v>279</v>
      </c>
      <c r="B159" s="31"/>
      <c r="C159" s="78" t="str">
        <f t="shared" si="96"/>
        <v/>
      </c>
      <c r="D159" s="31"/>
      <c r="E159" s="78" t="str">
        <f t="shared" si="97"/>
        <v/>
      </c>
      <c r="F159" s="69" t="str">
        <f t="shared" si="98"/>
        <v/>
      </c>
      <c r="G159" s="31"/>
      <c r="H159" s="78" t="str">
        <f t="shared" si="99"/>
        <v/>
      </c>
      <c r="I159" s="69" t="str">
        <f t="shared" si="100"/>
        <v/>
      </c>
      <c r="J159" s="31"/>
      <c r="K159" s="78" t="str">
        <f t="shared" si="101"/>
        <v/>
      </c>
      <c r="L159" s="69" t="str">
        <f t="shared" si="102"/>
        <v/>
      </c>
      <c r="M159" s="31"/>
      <c r="N159" s="78" t="str">
        <f t="shared" si="103"/>
        <v/>
      </c>
      <c r="O159" s="69" t="str">
        <f t="shared" si="104"/>
        <v/>
      </c>
      <c r="P159" s="31"/>
      <c r="Q159" s="78" t="str">
        <f t="shared" si="105"/>
        <v/>
      </c>
      <c r="R159" s="69" t="str">
        <f t="shared" si="106"/>
        <v/>
      </c>
      <c r="S159" s="31"/>
      <c r="T159" s="78" t="str">
        <f t="shared" si="107"/>
        <v/>
      </c>
      <c r="U159" s="69" t="str">
        <f t="shared" si="108"/>
        <v/>
      </c>
      <c r="V159" s="31"/>
      <c r="W159" s="78" t="str">
        <f t="shared" si="109"/>
        <v/>
      </c>
      <c r="X159" s="69" t="str">
        <f t="shared" si="110"/>
        <v/>
      </c>
      <c r="Y159" s="31"/>
      <c r="Z159" s="78" t="str">
        <f t="shared" si="111"/>
        <v/>
      </c>
      <c r="AA159" s="69" t="str">
        <f t="shared" si="112"/>
        <v/>
      </c>
      <c r="AB159" s="31"/>
      <c r="AC159" s="78" t="str">
        <f t="shared" si="113"/>
        <v/>
      </c>
      <c r="AD159" s="69" t="str">
        <f t="shared" si="114"/>
        <v/>
      </c>
      <c r="AE159" s="31"/>
      <c r="AF159" s="78" t="str">
        <f t="shared" si="115"/>
        <v/>
      </c>
      <c r="AG159" s="69" t="str">
        <f t="shared" si="116"/>
        <v/>
      </c>
      <c r="AH159" s="31"/>
      <c r="AI159" s="78" t="str">
        <f t="shared" si="117"/>
        <v/>
      </c>
      <c r="AJ159" s="69" t="str">
        <f t="shared" si="118"/>
        <v/>
      </c>
      <c r="AK15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59" s="78" t="str">
        <f t="shared" si="119"/>
        <v/>
      </c>
      <c r="AM15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60" spans="1:39" outlineLevel="1" x14ac:dyDescent="0.25">
      <c r="A160" s="30" t="s">
        <v>280</v>
      </c>
      <c r="B160" s="31"/>
      <c r="C160" s="78" t="str">
        <f t="shared" si="96"/>
        <v/>
      </c>
      <c r="D160" s="31"/>
      <c r="E160" s="78" t="str">
        <f t="shared" si="97"/>
        <v/>
      </c>
      <c r="F160" s="69" t="str">
        <f t="shared" si="98"/>
        <v/>
      </c>
      <c r="G160" s="31"/>
      <c r="H160" s="78" t="str">
        <f t="shared" si="99"/>
        <v/>
      </c>
      <c r="I160" s="69" t="str">
        <f t="shared" si="100"/>
        <v/>
      </c>
      <c r="J160" s="31"/>
      <c r="K160" s="78" t="str">
        <f t="shared" si="101"/>
        <v/>
      </c>
      <c r="L160" s="69" t="str">
        <f t="shared" si="102"/>
        <v/>
      </c>
      <c r="M160" s="31"/>
      <c r="N160" s="78" t="str">
        <f t="shared" si="103"/>
        <v/>
      </c>
      <c r="O160" s="69" t="str">
        <f t="shared" si="104"/>
        <v/>
      </c>
      <c r="P160" s="31"/>
      <c r="Q160" s="78" t="str">
        <f t="shared" si="105"/>
        <v/>
      </c>
      <c r="R160" s="69" t="str">
        <f t="shared" si="106"/>
        <v/>
      </c>
      <c r="S160" s="31"/>
      <c r="T160" s="78" t="str">
        <f t="shared" si="107"/>
        <v/>
      </c>
      <c r="U160" s="69" t="str">
        <f t="shared" si="108"/>
        <v/>
      </c>
      <c r="V160" s="31"/>
      <c r="W160" s="78" t="str">
        <f t="shared" si="109"/>
        <v/>
      </c>
      <c r="X160" s="69" t="str">
        <f t="shared" si="110"/>
        <v/>
      </c>
      <c r="Y160" s="31"/>
      <c r="Z160" s="78" t="str">
        <f t="shared" si="111"/>
        <v/>
      </c>
      <c r="AA160" s="69" t="str">
        <f t="shared" si="112"/>
        <v/>
      </c>
      <c r="AB160" s="31"/>
      <c r="AC160" s="78" t="str">
        <f t="shared" si="113"/>
        <v/>
      </c>
      <c r="AD160" s="69" t="str">
        <f t="shared" si="114"/>
        <v/>
      </c>
      <c r="AE160" s="31"/>
      <c r="AF160" s="78" t="str">
        <f t="shared" si="115"/>
        <v/>
      </c>
      <c r="AG160" s="69" t="str">
        <f t="shared" si="116"/>
        <v/>
      </c>
      <c r="AH160" s="31"/>
      <c r="AI160" s="78" t="str">
        <f t="shared" si="117"/>
        <v/>
      </c>
      <c r="AJ160" s="69" t="str">
        <f t="shared" si="118"/>
        <v/>
      </c>
      <c r="AK16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0" s="78" t="str">
        <f t="shared" si="119"/>
        <v/>
      </c>
      <c r="AM16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61" spans="1:39" outlineLevel="1" x14ac:dyDescent="0.25">
      <c r="A161" s="30"/>
      <c r="B161" s="31"/>
      <c r="C161" s="78" t="str">
        <f t="shared" si="96"/>
        <v/>
      </c>
      <c r="D161" s="31"/>
      <c r="E161" s="78" t="str">
        <f t="shared" si="97"/>
        <v/>
      </c>
      <c r="F161" s="69" t="str">
        <f t="shared" si="98"/>
        <v/>
      </c>
      <c r="G161" s="31"/>
      <c r="H161" s="78" t="str">
        <f t="shared" si="99"/>
        <v/>
      </c>
      <c r="I161" s="69" t="str">
        <f t="shared" si="100"/>
        <v/>
      </c>
      <c r="J161" s="31"/>
      <c r="K161" s="78" t="str">
        <f t="shared" si="101"/>
        <v/>
      </c>
      <c r="L161" s="69" t="str">
        <f t="shared" si="102"/>
        <v/>
      </c>
      <c r="M161" s="31"/>
      <c r="N161" s="78" t="str">
        <f t="shared" si="103"/>
        <v/>
      </c>
      <c r="O161" s="69" t="str">
        <f t="shared" si="104"/>
        <v/>
      </c>
      <c r="P161" s="31"/>
      <c r="Q161" s="78" t="str">
        <f t="shared" si="105"/>
        <v/>
      </c>
      <c r="R161" s="69" t="str">
        <f t="shared" si="106"/>
        <v/>
      </c>
      <c r="S161" s="31"/>
      <c r="T161" s="78" t="str">
        <f t="shared" si="107"/>
        <v/>
      </c>
      <c r="U161" s="69" t="str">
        <f t="shared" si="108"/>
        <v/>
      </c>
      <c r="V161" s="31"/>
      <c r="W161" s="78" t="str">
        <f t="shared" si="109"/>
        <v/>
      </c>
      <c r="X161" s="69" t="str">
        <f t="shared" si="110"/>
        <v/>
      </c>
      <c r="Y161" s="31"/>
      <c r="Z161" s="78" t="str">
        <f t="shared" si="111"/>
        <v/>
      </c>
      <c r="AA161" s="69" t="str">
        <f t="shared" si="112"/>
        <v/>
      </c>
      <c r="AB161" s="31"/>
      <c r="AC161" s="78" t="str">
        <f t="shared" si="113"/>
        <v/>
      </c>
      <c r="AD161" s="69" t="str">
        <f t="shared" si="114"/>
        <v/>
      </c>
      <c r="AE161" s="31"/>
      <c r="AF161" s="78" t="str">
        <f t="shared" si="115"/>
        <v/>
      </c>
      <c r="AG161" s="69" t="str">
        <f t="shared" si="116"/>
        <v/>
      </c>
      <c r="AH161" s="31"/>
      <c r="AI161" s="78" t="str">
        <f t="shared" si="117"/>
        <v/>
      </c>
      <c r="AJ161" s="69" t="str">
        <f t="shared" si="118"/>
        <v/>
      </c>
      <c r="AK16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1" s="78" t="str">
        <f t="shared" si="119"/>
        <v/>
      </c>
      <c r="AM16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62" spans="1:39" x14ac:dyDescent="0.25">
      <c r="A162" s="26" t="s">
        <v>281</v>
      </c>
      <c r="B162" s="27">
        <f>B149+B150</f>
        <v>0</v>
      </c>
      <c r="C162" s="76" t="str">
        <f t="shared" si="96"/>
        <v/>
      </c>
      <c r="D162" s="27">
        <f>D105-D106</f>
        <v>0</v>
      </c>
      <c r="E162" s="76" t="str">
        <f t="shared" si="97"/>
        <v/>
      </c>
      <c r="F162" s="69" t="str">
        <f t="shared" si="98"/>
        <v/>
      </c>
      <c r="G162" s="27">
        <f>G105-G106</f>
        <v>0</v>
      </c>
      <c r="H162" s="76" t="str">
        <f t="shared" si="99"/>
        <v/>
      </c>
      <c r="I162" s="69" t="str">
        <f t="shared" si="100"/>
        <v/>
      </c>
      <c r="J162" s="27">
        <f>J105-J106</f>
        <v>0</v>
      </c>
      <c r="K162" s="76" t="str">
        <f t="shared" si="101"/>
        <v/>
      </c>
      <c r="L162" s="69" t="str">
        <f t="shared" si="102"/>
        <v/>
      </c>
      <c r="M162" s="27">
        <f>M105-M106</f>
        <v>0</v>
      </c>
      <c r="N162" s="76" t="str">
        <f t="shared" si="103"/>
        <v/>
      </c>
      <c r="O162" s="69" t="str">
        <f t="shared" si="104"/>
        <v/>
      </c>
      <c r="P162" s="27">
        <f>P105-P106</f>
        <v>0</v>
      </c>
      <c r="Q162" s="76" t="str">
        <f t="shared" si="105"/>
        <v/>
      </c>
      <c r="R162" s="69" t="str">
        <f t="shared" si="106"/>
        <v/>
      </c>
      <c r="S162" s="27">
        <f>S105-S106</f>
        <v>0</v>
      </c>
      <c r="T162" s="76" t="str">
        <f t="shared" si="107"/>
        <v/>
      </c>
      <c r="U162" s="69" t="str">
        <f t="shared" si="108"/>
        <v/>
      </c>
      <c r="V162" s="27">
        <f>V105-V106</f>
        <v>0</v>
      </c>
      <c r="W162" s="76" t="str">
        <f t="shared" si="109"/>
        <v/>
      </c>
      <c r="X162" s="69" t="str">
        <f t="shared" si="110"/>
        <v/>
      </c>
      <c r="Y162" s="27">
        <f>Y105-Y106</f>
        <v>0</v>
      </c>
      <c r="Z162" s="76" t="str">
        <f t="shared" si="111"/>
        <v/>
      </c>
      <c r="AA162" s="69" t="str">
        <f t="shared" si="112"/>
        <v/>
      </c>
      <c r="AB162" s="27">
        <f>AB105-AB106</f>
        <v>0</v>
      </c>
      <c r="AC162" s="76" t="str">
        <f t="shared" si="113"/>
        <v/>
      </c>
      <c r="AD162" s="69" t="str">
        <f t="shared" si="114"/>
        <v/>
      </c>
      <c r="AE162" s="27">
        <f>AE105-AE106</f>
        <v>0</v>
      </c>
      <c r="AF162" s="76" t="str">
        <f t="shared" si="115"/>
        <v/>
      </c>
      <c r="AG162" s="69" t="str">
        <f t="shared" si="116"/>
        <v/>
      </c>
      <c r="AH162" s="27">
        <f>AH105-AH106</f>
        <v>0</v>
      </c>
      <c r="AI162" s="76" t="str">
        <f t="shared" si="117"/>
        <v/>
      </c>
      <c r="AJ162" s="69" t="str">
        <f t="shared" si="118"/>
        <v/>
      </c>
      <c r="AK162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2" s="76" t="str">
        <f t="shared" si="119"/>
        <v/>
      </c>
      <c r="AM162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63" spans="1:39" x14ac:dyDescent="0.25">
      <c r="A163" s="26" t="s">
        <v>282</v>
      </c>
      <c r="B163" s="27">
        <f>B164+B166</f>
        <v>0</v>
      </c>
      <c r="C163" s="76" t="str">
        <f t="shared" ref="C163:C194" si="120">IFERROR(B163/$B$3,"")</f>
        <v/>
      </c>
      <c r="D163" s="27">
        <f>D164+D166</f>
        <v>0</v>
      </c>
      <c r="E163" s="76" t="str">
        <f t="shared" ref="E163:E194" si="121">IFERROR(D163/$D$3,"")</f>
        <v/>
      </c>
      <c r="F163" s="69" t="str">
        <f t="shared" ref="F163:F190" si="122">IFERROR((D163-B163)/B163,"")</f>
        <v/>
      </c>
      <c r="G163" s="27">
        <f>G164+G166</f>
        <v>0</v>
      </c>
      <c r="H163" s="76" t="str">
        <f t="shared" ref="H163:H194" si="123">IFERROR(G163/$G$3,"")</f>
        <v/>
      </c>
      <c r="I163" s="69" t="str">
        <f t="shared" ref="I163:I190" si="124">IFERROR((G163-D163)/D163,"")</f>
        <v/>
      </c>
      <c r="J163" s="27">
        <f>J164+J166</f>
        <v>0</v>
      </c>
      <c r="K163" s="76" t="str">
        <f t="shared" ref="K163:K194" si="125">IFERROR(J163/$J$3,"")</f>
        <v/>
      </c>
      <c r="L163" s="69" t="str">
        <f t="shared" ref="L163:L190" si="126">IFERROR((J163-G163)/G163,"")</f>
        <v/>
      </c>
      <c r="M163" s="27">
        <f>M164+M166</f>
        <v>0</v>
      </c>
      <c r="N163" s="76" t="str">
        <f t="shared" ref="N163:N194" si="127">IFERROR(M163/$M$3,"")</f>
        <v/>
      </c>
      <c r="O163" s="69" t="str">
        <f t="shared" ref="O163:O190" si="128">IFERROR((M163-J163)/J163,"")</f>
        <v/>
      </c>
      <c r="P163" s="27">
        <f>P164+P166</f>
        <v>0</v>
      </c>
      <c r="Q163" s="76" t="str">
        <f t="shared" ref="Q163:Q194" si="129">IFERROR(P163/$P$3,"")</f>
        <v/>
      </c>
      <c r="R163" s="69" t="str">
        <f t="shared" ref="R163:R190" si="130">IFERROR((P163-M163)/M163,"")</f>
        <v/>
      </c>
      <c r="S163" s="27">
        <f>S164+S166</f>
        <v>0</v>
      </c>
      <c r="T163" s="76" t="str">
        <f t="shared" ref="T163:T194" si="131">IFERROR(S163/$S$3,"")</f>
        <v/>
      </c>
      <c r="U163" s="69" t="str">
        <f t="shared" ref="U163:U190" si="132">IFERROR((S163-P163)/P163,"")</f>
        <v/>
      </c>
      <c r="V163" s="27">
        <f>V164+V166</f>
        <v>0</v>
      </c>
      <c r="W163" s="76" t="str">
        <f t="shared" ref="W163:W194" si="133">IFERROR(V163/$V$3,"")</f>
        <v/>
      </c>
      <c r="X163" s="69" t="str">
        <f t="shared" ref="X163:X190" si="134">IFERROR((V163-S163)/S163,"")</f>
        <v/>
      </c>
      <c r="Y163" s="27">
        <f>Y164+Y166</f>
        <v>0</v>
      </c>
      <c r="Z163" s="76" t="str">
        <f t="shared" ref="Z163:Z194" si="135">IFERROR(Y163/$Y$3,"")</f>
        <v/>
      </c>
      <c r="AA163" s="69" t="str">
        <f t="shared" ref="AA163:AA190" si="136">IFERROR((Y163-V163)/V163,"")</f>
        <v/>
      </c>
      <c r="AB163" s="27">
        <f>AB164+AB166</f>
        <v>0</v>
      </c>
      <c r="AC163" s="76" t="str">
        <f t="shared" ref="AC163:AC194" si="137">IFERROR(AB163/$AB$3,"")</f>
        <v/>
      </c>
      <c r="AD163" s="69" t="str">
        <f t="shared" ref="AD163:AD190" si="138">IFERROR((AB163-Y163)/Y163,"")</f>
        <v/>
      </c>
      <c r="AE163" s="27">
        <f>AE164+AE166</f>
        <v>0</v>
      </c>
      <c r="AF163" s="76" t="str">
        <f t="shared" ref="AF163:AF194" si="139">IFERROR(AE163/$AE$3,"")</f>
        <v/>
      </c>
      <c r="AG163" s="69" t="str">
        <f t="shared" ref="AG163:AG190" si="140">IFERROR((AE163-AB163)/AB163,"")</f>
        <v/>
      </c>
      <c r="AH163" s="27">
        <f>AH164+AH166</f>
        <v>0</v>
      </c>
      <c r="AI163" s="76" t="str">
        <f t="shared" ref="AI163:AI194" si="141">IFERROR(AH163/$AH$3,"")</f>
        <v/>
      </c>
      <c r="AJ163" s="69" t="str">
        <f t="shared" ref="AJ163:AJ190" si="142">IFERROR((AH163-AE163)/AE163,"")</f>
        <v/>
      </c>
      <c r="AK163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3" s="76" t="str">
        <f t="shared" ref="AL163:AL194" si="143">IFERROR(AK163/$AK$3,"")</f>
        <v/>
      </c>
      <c r="AM163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64" spans="1:39" outlineLevel="1" x14ac:dyDescent="0.25">
      <c r="A164" s="28" t="s">
        <v>283</v>
      </c>
      <c r="B164" s="29">
        <f>SUM(B151:B156)</f>
        <v>0</v>
      </c>
      <c r="C164" s="77" t="str">
        <f t="shared" si="120"/>
        <v/>
      </c>
      <c r="D164" s="29">
        <f>SUM(D151:D156)</f>
        <v>0</v>
      </c>
      <c r="E164" s="77" t="str">
        <f t="shared" si="121"/>
        <v/>
      </c>
      <c r="F164" s="69" t="str">
        <f t="shared" si="122"/>
        <v/>
      </c>
      <c r="G164" s="29">
        <f>SUM(G151:G156)</f>
        <v>0</v>
      </c>
      <c r="H164" s="77" t="str">
        <f t="shared" si="123"/>
        <v/>
      </c>
      <c r="I164" s="69" t="str">
        <f t="shared" si="124"/>
        <v/>
      </c>
      <c r="J164" s="29">
        <f>SUM(J151:J156)</f>
        <v>0</v>
      </c>
      <c r="K164" s="77" t="str">
        <f t="shared" si="125"/>
        <v/>
      </c>
      <c r="L164" s="69" t="str">
        <f t="shared" si="126"/>
        <v/>
      </c>
      <c r="M164" s="29">
        <f>SUM(M151:M156)</f>
        <v>0</v>
      </c>
      <c r="N164" s="77" t="str">
        <f t="shared" si="127"/>
        <v/>
      </c>
      <c r="O164" s="69" t="str">
        <f t="shared" si="128"/>
        <v/>
      </c>
      <c r="P164" s="29">
        <f>SUM(P151:P156)</f>
        <v>0</v>
      </c>
      <c r="Q164" s="77" t="str">
        <f t="shared" si="129"/>
        <v/>
      </c>
      <c r="R164" s="69" t="str">
        <f t="shared" si="130"/>
        <v/>
      </c>
      <c r="S164" s="29">
        <f>SUM(S151:S156)</f>
        <v>0</v>
      </c>
      <c r="T164" s="77" t="str">
        <f t="shared" si="131"/>
        <v/>
      </c>
      <c r="U164" s="69" t="str">
        <f t="shared" si="132"/>
        <v/>
      </c>
      <c r="V164" s="29">
        <f>SUM(V151:V156)</f>
        <v>0</v>
      </c>
      <c r="W164" s="77" t="str">
        <f t="shared" si="133"/>
        <v/>
      </c>
      <c r="X164" s="69" t="str">
        <f t="shared" si="134"/>
        <v/>
      </c>
      <c r="Y164" s="29">
        <f>SUM(Y151:Y156)</f>
        <v>0</v>
      </c>
      <c r="Z164" s="77" t="str">
        <f t="shared" si="135"/>
        <v/>
      </c>
      <c r="AA164" s="69" t="str">
        <f t="shared" si="136"/>
        <v/>
      </c>
      <c r="AB164" s="29">
        <f>SUM(AB151:AB156)</f>
        <v>0</v>
      </c>
      <c r="AC164" s="77" t="str">
        <f t="shared" si="137"/>
        <v/>
      </c>
      <c r="AD164" s="69" t="str">
        <f t="shared" si="138"/>
        <v/>
      </c>
      <c r="AE164" s="29">
        <f>SUM(AE151:AE156)</f>
        <v>0</v>
      </c>
      <c r="AF164" s="77" t="str">
        <f t="shared" si="139"/>
        <v/>
      </c>
      <c r="AG164" s="69" t="str">
        <f t="shared" si="140"/>
        <v/>
      </c>
      <c r="AH164" s="29">
        <f>SUM(AH151:AH156)</f>
        <v>0</v>
      </c>
      <c r="AI164" s="77" t="str">
        <f t="shared" si="141"/>
        <v/>
      </c>
      <c r="AJ164" s="69" t="str">
        <f t="shared" si="142"/>
        <v/>
      </c>
      <c r="AK164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4" s="77" t="str">
        <f t="shared" si="143"/>
        <v/>
      </c>
      <c r="AM164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65" spans="1:39" outlineLevel="1" x14ac:dyDescent="0.25">
      <c r="A165" s="30" t="s">
        <v>284</v>
      </c>
      <c r="B165" s="31"/>
      <c r="C165" s="78" t="str">
        <f t="shared" si="120"/>
        <v/>
      </c>
      <c r="D165" s="31"/>
      <c r="E165" s="78" t="str">
        <f t="shared" si="121"/>
        <v/>
      </c>
      <c r="F165" s="69" t="str">
        <f t="shared" si="122"/>
        <v/>
      </c>
      <c r="G165" s="31"/>
      <c r="H165" s="78" t="str">
        <f t="shared" si="123"/>
        <v/>
      </c>
      <c r="I165" s="69" t="str">
        <f t="shared" si="124"/>
        <v/>
      </c>
      <c r="J165" s="31"/>
      <c r="K165" s="78" t="str">
        <f t="shared" si="125"/>
        <v/>
      </c>
      <c r="L165" s="69" t="str">
        <f t="shared" si="126"/>
        <v/>
      </c>
      <c r="M165" s="31"/>
      <c r="N165" s="78" t="str">
        <f t="shared" si="127"/>
        <v/>
      </c>
      <c r="O165" s="69" t="str">
        <f t="shared" si="128"/>
        <v/>
      </c>
      <c r="P165" s="31"/>
      <c r="Q165" s="78" t="str">
        <f t="shared" si="129"/>
        <v/>
      </c>
      <c r="R165" s="69" t="str">
        <f t="shared" si="130"/>
        <v/>
      </c>
      <c r="S165" s="31"/>
      <c r="T165" s="78" t="str">
        <f t="shared" si="131"/>
        <v/>
      </c>
      <c r="U165" s="69" t="str">
        <f t="shared" si="132"/>
        <v/>
      </c>
      <c r="V165" s="31"/>
      <c r="W165" s="78" t="str">
        <f t="shared" si="133"/>
        <v/>
      </c>
      <c r="X165" s="69" t="str">
        <f t="shared" si="134"/>
        <v/>
      </c>
      <c r="Y165" s="31"/>
      <c r="Z165" s="78" t="str">
        <f t="shared" si="135"/>
        <v/>
      </c>
      <c r="AA165" s="69" t="str">
        <f t="shared" si="136"/>
        <v/>
      </c>
      <c r="AB165" s="31"/>
      <c r="AC165" s="78" t="str">
        <f t="shared" si="137"/>
        <v/>
      </c>
      <c r="AD165" s="69" t="str">
        <f t="shared" si="138"/>
        <v/>
      </c>
      <c r="AE165" s="31"/>
      <c r="AF165" s="78" t="str">
        <f t="shared" si="139"/>
        <v/>
      </c>
      <c r="AG165" s="69" t="str">
        <f t="shared" si="140"/>
        <v/>
      </c>
      <c r="AH165" s="31"/>
      <c r="AI165" s="78" t="str">
        <f t="shared" si="141"/>
        <v/>
      </c>
      <c r="AJ165" s="69" t="str">
        <f t="shared" si="142"/>
        <v/>
      </c>
      <c r="AK16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5" s="78" t="str">
        <f t="shared" si="143"/>
        <v/>
      </c>
      <c r="AM16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66" spans="1:39" outlineLevel="1" x14ac:dyDescent="0.25">
      <c r="A166" s="28" t="s">
        <v>285</v>
      </c>
      <c r="B166" s="29">
        <f>SUM(B153:B158)</f>
        <v>0</v>
      </c>
      <c r="C166" s="77" t="str">
        <f t="shared" si="120"/>
        <v/>
      </c>
      <c r="D166" s="29">
        <f>SUM(D153:D158)</f>
        <v>0</v>
      </c>
      <c r="E166" s="77" t="str">
        <f t="shared" si="121"/>
        <v/>
      </c>
      <c r="F166" s="69" t="str">
        <f t="shared" si="122"/>
        <v/>
      </c>
      <c r="G166" s="29">
        <f>SUM(G153:G158)</f>
        <v>0</v>
      </c>
      <c r="H166" s="77" t="str">
        <f t="shared" si="123"/>
        <v/>
      </c>
      <c r="I166" s="69" t="str">
        <f t="shared" si="124"/>
        <v/>
      </c>
      <c r="J166" s="29">
        <f>SUM(J153:J158)</f>
        <v>0</v>
      </c>
      <c r="K166" s="77" t="str">
        <f t="shared" si="125"/>
        <v/>
      </c>
      <c r="L166" s="69" t="str">
        <f t="shared" si="126"/>
        <v/>
      </c>
      <c r="M166" s="29">
        <f>SUM(M153:M158)</f>
        <v>0</v>
      </c>
      <c r="N166" s="77" t="str">
        <f t="shared" si="127"/>
        <v/>
      </c>
      <c r="O166" s="69" t="str">
        <f t="shared" si="128"/>
        <v/>
      </c>
      <c r="P166" s="29">
        <f>SUM(P153:P158)</f>
        <v>0</v>
      </c>
      <c r="Q166" s="77" t="str">
        <f t="shared" si="129"/>
        <v/>
      </c>
      <c r="R166" s="69" t="str">
        <f t="shared" si="130"/>
        <v/>
      </c>
      <c r="S166" s="29">
        <f>SUM(S153:S158)</f>
        <v>0</v>
      </c>
      <c r="T166" s="77" t="str">
        <f t="shared" si="131"/>
        <v/>
      </c>
      <c r="U166" s="69" t="str">
        <f t="shared" si="132"/>
        <v/>
      </c>
      <c r="V166" s="29">
        <f>SUM(V153:V158)</f>
        <v>0</v>
      </c>
      <c r="W166" s="77" t="str">
        <f t="shared" si="133"/>
        <v/>
      </c>
      <c r="X166" s="69" t="str">
        <f t="shared" si="134"/>
        <v/>
      </c>
      <c r="Y166" s="29">
        <f>SUM(Y153:Y158)</f>
        <v>0</v>
      </c>
      <c r="Z166" s="77" t="str">
        <f t="shared" si="135"/>
        <v/>
      </c>
      <c r="AA166" s="69" t="str">
        <f t="shared" si="136"/>
        <v/>
      </c>
      <c r="AB166" s="29">
        <f>SUM(AB153:AB158)</f>
        <v>0</v>
      </c>
      <c r="AC166" s="77" t="str">
        <f t="shared" si="137"/>
        <v/>
      </c>
      <c r="AD166" s="69" t="str">
        <f t="shared" si="138"/>
        <v/>
      </c>
      <c r="AE166" s="29">
        <f>SUM(AE153:AE158)</f>
        <v>0</v>
      </c>
      <c r="AF166" s="77" t="str">
        <f t="shared" si="139"/>
        <v/>
      </c>
      <c r="AG166" s="69" t="str">
        <f t="shared" si="140"/>
        <v/>
      </c>
      <c r="AH166" s="29">
        <f>SUM(AH153:AH158)</f>
        <v>0</v>
      </c>
      <c r="AI166" s="77" t="str">
        <f t="shared" si="141"/>
        <v/>
      </c>
      <c r="AJ166" s="69" t="str">
        <f t="shared" si="142"/>
        <v/>
      </c>
      <c r="AK166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6" s="77" t="str">
        <f t="shared" si="143"/>
        <v/>
      </c>
      <c r="AM166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67" spans="1:39" outlineLevel="1" x14ac:dyDescent="0.25">
      <c r="A167" s="30" t="s">
        <v>286</v>
      </c>
      <c r="B167" s="31"/>
      <c r="C167" s="78" t="str">
        <f t="shared" si="120"/>
        <v/>
      </c>
      <c r="D167" s="31"/>
      <c r="E167" s="78" t="str">
        <f t="shared" si="121"/>
        <v/>
      </c>
      <c r="F167" s="69" t="str">
        <f t="shared" si="122"/>
        <v/>
      </c>
      <c r="G167" s="31"/>
      <c r="H167" s="78" t="str">
        <f t="shared" si="123"/>
        <v/>
      </c>
      <c r="I167" s="69" t="str">
        <f t="shared" si="124"/>
        <v/>
      </c>
      <c r="J167" s="31"/>
      <c r="K167" s="78" t="str">
        <f t="shared" si="125"/>
        <v/>
      </c>
      <c r="L167" s="69" t="str">
        <f t="shared" si="126"/>
        <v/>
      </c>
      <c r="M167" s="31"/>
      <c r="N167" s="78" t="str">
        <f t="shared" si="127"/>
        <v/>
      </c>
      <c r="O167" s="69" t="str">
        <f t="shared" si="128"/>
        <v/>
      </c>
      <c r="P167" s="31"/>
      <c r="Q167" s="78" t="str">
        <f t="shared" si="129"/>
        <v/>
      </c>
      <c r="R167" s="69" t="str">
        <f t="shared" si="130"/>
        <v/>
      </c>
      <c r="S167" s="31"/>
      <c r="T167" s="78" t="str">
        <f t="shared" si="131"/>
        <v/>
      </c>
      <c r="U167" s="69" t="str">
        <f t="shared" si="132"/>
        <v/>
      </c>
      <c r="V167" s="31"/>
      <c r="W167" s="78" t="str">
        <f t="shared" si="133"/>
        <v/>
      </c>
      <c r="X167" s="69" t="str">
        <f t="shared" si="134"/>
        <v/>
      </c>
      <c r="Y167" s="31"/>
      <c r="Z167" s="78" t="str">
        <f t="shared" si="135"/>
        <v/>
      </c>
      <c r="AA167" s="69" t="str">
        <f t="shared" si="136"/>
        <v/>
      </c>
      <c r="AB167" s="31"/>
      <c r="AC167" s="78" t="str">
        <f t="shared" si="137"/>
        <v/>
      </c>
      <c r="AD167" s="69" t="str">
        <f t="shared" si="138"/>
        <v/>
      </c>
      <c r="AE167" s="31"/>
      <c r="AF167" s="78" t="str">
        <f t="shared" si="139"/>
        <v/>
      </c>
      <c r="AG167" s="69" t="str">
        <f t="shared" si="140"/>
        <v/>
      </c>
      <c r="AH167" s="31"/>
      <c r="AI167" s="78" t="str">
        <f t="shared" si="141"/>
        <v/>
      </c>
      <c r="AJ167" s="69" t="str">
        <f t="shared" si="142"/>
        <v/>
      </c>
      <c r="AK16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7" s="78" t="str">
        <f t="shared" si="143"/>
        <v/>
      </c>
      <c r="AM16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68" spans="1:39" x14ac:dyDescent="0.25">
      <c r="A168" s="26" t="s">
        <v>287</v>
      </c>
      <c r="B168" s="27">
        <f>B162-B163</f>
        <v>0</v>
      </c>
      <c r="C168" s="76" t="str">
        <f t="shared" si="120"/>
        <v/>
      </c>
      <c r="D168" s="27">
        <f>D162-D163</f>
        <v>0</v>
      </c>
      <c r="E168" s="76" t="str">
        <f t="shared" si="121"/>
        <v/>
      </c>
      <c r="F168" s="69" t="str">
        <f t="shared" si="122"/>
        <v/>
      </c>
      <c r="G168" s="27">
        <f>G162-G163</f>
        <v>0</v>
      </c>
      <c r="H168" s="76" t="str">
        <f t="shared" si="123"/>
        <v/>
      </c>
      <c r="I168" s="69" t="str">
        <f t="shared" si="124"/>
        <v/>
      </c>
      <c r="J168" s="27">
        <f>J162-J163</f>
        <v>0</v>
      </c>
      <c r="K168" s="76" t="str">
        <f t="shared" si="125"/>
        <v/>
      </c>
      <c r="L168" s="69" t="str">
        <f t="shared" si="126"/>
        <v/>
      </c>
      <c r="M168" s="27">
        <f>M162-M163</f>
        <v>0</v>
      </c>
      <c r="N168" s="76" t="str">
        <f t="shared" si="127"/>
        <v/>
      </c>
      <c r="O168" s="69" t="str">
        <f t="shared" si="128"/>
        <v/>
      </c>
      <c r="P168" s="27">
        <f>P162-P163</f>
        <v>0</v>
      </c>
      <c r="Q168" s="76" t="str">
        <f t="shared" si="129"/>
        <v/>
      </c>
      <c r="R168" s="69" t="str">
        <f t="shared" si="130"/>
        <v/>
      </c>
      <c r="S168" s="27">
        <f>S162-S163</f>
        <v>0</v>
      </c>
      <c r="T168" s="76" t="str">
        <f t="shared" si="131"/>
        <v/>
      </c>
      <c r="U168" s="69" t="str">
        <f t="shared" si="132"/>
        <v/>
      </c>
      <c r="V168" s="27">
        <f>V162-V163</f>
        <v>0</v>
      </c>
      <c r="W168" s="76" t="str">
        <f t="shared" si="133"/>
        <v/>
      </c>
      <c r="X168" s="69" t="str">
        <f t="shared" si="134"/>
        <v/>
      </c>
      <c r="Y168" s="27">
        <f>Y162-Y163</f>
        <v>0</v>
      </c>
      <c r="Z168" s="76" t="str">
        <f t="shared" si="135"/>
        <v/>
      </c>
      <c r="AA168" s="69" t="str">
        <f t="shared" si="136"/>
        <v/>
      </c>
      <c r="AB168" s="27">
        <f>AB162-AB163</f>
        <v>0</v>
      </c>
      <c r="AC168" s="76" t="str">
        <f t="shared" si="137"/>
        <v/>
      </c>
      <c r="AD168" s="69" t="str">
        <f t="shared" si="138"/>
        <v/>
      </c>
      <c r="AE168" s="27">
        <f>AE162-AE163</f>
        <v>0</v>
      </c>
      <c r="AF168" s="76" t="str">
        <f t="shared" si="139"/>
        <v/>
      </c>
      <c r="AG168" s="69" t="str">
        <f t="shared" si="140"/>
        <v/>
      </c>
      <c r="AH168" s="27">
        <f>AH162-AH163</f>
        <v>0</v>
      </c>
      <c r="AI168" s="76" t="str">
        <f t="shared" si="141"/>
        <v/>
      </c>
      <c r="AJ168" s="69" t="str">
        <f t="shared" si="142"/>
        <v/>
      </c>
      <c r="AK168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8" s="76" t="str">
        <f t="shared" si="143"/>
        <v/>
      </c>
      <c r="AM168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69" spans="1:39" x14ac:dyDescent="0.25">
      <c r="A169" s="26" t="s">
        <v>288</v>
      </c>
      <c r="B169" s="27">
        <f>B170-B176-B181-B186</f>
        <v>0</v>
      </c>
      <c r="C169" s="76" t="str">
        <f t="shared" si="120"/>
        <v/>
      </c>
      <c r="D169" s="27">
        <f>D170-D176-D181-D186</f>
        <v>0</v>
      </c>
      <c r="E169" s="76" t="str">
        <f t="shared" si="121"/>
        <v/>
      </c>
      <c r="F169" s="69" t="str">
        <f t="shared" si="122"/>
        <v/>
      </c>
      <c r="G169" s="27">
        <f>G170-G176-G181-G186</f>
        <v>0</v>
      </c>
      <c r="H169" s="76" t="str">
        <f t="shared" si="123"/>
        <v/>
      </c>
      <c r="I169" s="69" t="str">
        <f t="shared" si="124"/>
        <v/>
      </c>
      <c r="J169" s="27">
        <f>J170-J176-J181-J186</f>
        <v>0</v>
      </c>
      <c r="K169" s="76" t="str">
        <f t="shared" si="125"/>
        <v/>
      </c>
      <c r="L169" s="69" t="str">
        <f t="shared" si="126"/>
        <v/>
      </c>
      <c r="M169" s="27">
        <f>M170-M176-M181-M186</f>
        <v>0</v>
      </c>
      <c r="N169" s="76" t="str">
        <f t="shared" si="127"/>
        <v/>
      </c>
      <c r="O169" s="69" t="str">
        <f t="shared" si="128"/>
        <v/>
      </c>
      <c r="P169" s="27">
        <f>P170-P176-P181-P186</f>
        <v>0</v>
      </c>
      <c r="Q169" s="76" t="str">
        <f t="shared" si="129"/>
        <v/>
      </c>
      <c r="R169" s="69" t="str">
        <f t="shared" si="130"/>
        <v/>
      </c>
      <c r="S169" s="27">
        <f>S170-S176-S181-S186</f>
        <v>0</v>
      </c>
      <c r="T169" s="76" t="str">
        <f t="shared" si="131"/>
        <v/>
      </c>
      <c r="U169" s="69" t="str">
        <f t="shared" si="132"/>
        <v/>
      </c>
      <c r="V169" s="27">
        <f>V170-V176-V181-V186</f>
        <v>0</v>
      </c>
      <c r="W169" s="76" t="str">
        <f t="shared" si="133"/>
        <v/>
      </c>
      <c r="X169" s="69" t="str">
        <f t="shared" si="134"/>
        <v/>
      </c>
      <c r="Y169" s="27">
        <f>Y170-Y176-Y181-Y186</f>
        <v>0</v>
      </c>
      <c r="Z169" s="76" t="str">
        <f t="shared" si="135"/>
        <v/>
      </c>
      <c r="AA169" s="69" t="str">
        <f t="shared" si="136"/>
        <v/>
      </c>
      <c r="AB169" s="27">
        <f>AB170-AB176-AB181-AB186</f>
        <v>0</v>
      </c>
      <c r="AC169" s="76" t="str">
        <f t="shared" si="137"/>
        <v/>
      </c>
      <c r="AD169" s="69" t="str">
        <f t="shared" si="138"/>
        <v/>
      </c>
      <c r="AE169" s="27">
        <f>AE170-AE176-AE181-AE186</f>
        <v>0</v>
      </c>
      <c r="AF169" s="76" t="str">
        <f t="shared" si="139"/>
        <v/>
      </c>
      <c r="AG169" s="69" t="str">
        <f t="shared" si="140"/>
        <v/>
      </c>
      <c r="AH169" s="27">
        <f>AH170-AH176-AH181-AH186</f>
        <v>0</v>
      </c>
      <c r="AI169" s="76" t="str">
        <f t="shared" si="141"/>
        <v/>
      </c>
      <c r="AJ169" s="69" t="str">
        <f t="shared" si="142"/>
        <v/>
      </c>
      <c r="AK169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69" s="76" t="str">
        <f t="shared" si="143"/>
        <v/>
      </c>
      <c r="AM169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70" spans="1:39" outlineLevel="1" x14ac:dyDescent="0.25">
      <c r="A170" s="28" t="s">
        <v>289</v>
      </c>
      <c r="B170" s="29">
        <f>SUM(B171:B175)</f>
        <v>0</v>
      </c>
      <c r="C170" s="77" t="str">
        <f t="shared" si="120"/>
        <v/>
      </c>
      <c r="D170" s="29">
        <f>SUM(D171:D175)</f>
        <v>0</v>
      </c>
      <c r="E170" s="77" t="str">
        <f t="shared" si="121"/>
        <v/>
      </c>
      <c r="F170" s="69" t="str">
        <f t="shared" si="122"/>
        <v/>
      </c>
      <c r="G170" s="29">
        <f>SUM(G171:G175)</f>
        <v>0</v>
      </c>
      <c r="H170" s="77" t="str">
        <f t="shared" si="123"/>
        <v/>
      </c>
      <c r="I170" s="69" t="str">
        <f t="shared" si="124"/>
        <v/>
      </c>
      <c r="J170" s="29">
        <f>SUM(J171:J175)</f>
        <v>0</v>
      </c>
      <c r="K170" s="77" t="str">
        <f t="shared" si="125"/>
        <v/>
      </c>
      <c r="L170" s="69" t="str">
        <f t="shared" si="126"/>
        <v/>
      </c>
      <c r="M170" s="29">
        <f>SUM(M171:M175)</f>
        <v>0</v>
      </c>
      <c r="N170" s="77" t="str">
        <f t="shared" si="127"/>
        <v/>
      </c>
      <c r="O170" s="69" t="str">
        <f t="shared" si="128"/>
        <v/>
      </c>
      <c r="P170" s="29">
        <f>SUM(P171:P175)</f>
        <v>0</v>
      </c>
      <c r="Q170" s="77" t="str">
        <f t="shared" si="129"/>
        <v/>
      </c>
      <c r="R170" s="69" t="str">
        <f t="shared" si="130"/>
        <v/>
      </c>
      <c r="S170" s="29">
        <f>SUM(S171:S175)</f>
        <v>0</v>
      </c>
      <c r="T170" s="77" t="str">
        <f t="shared" si="131"/>
        <v/>
      </c>
      <c r="U170" s="69" t="str">
        <f t="shared" si="132"/>
        <v/>
      </c>
      <c r="V170" s="29">
        <f>SUM(V171:V175)</f>
        <v>0</v>
      </c>
      <c r="W170" s="77" t="str">
        <f t="shared" si="133"/>
        <v/>
      </c>
      <c r="X170" s="69" t="str">
        <f t="shared" si="134"/>
        <v/>
      </c>
      <c r="Y170" s="29">
        <f>SUM(Y171:Y175)</f>
        <v>0</v>
      </c>
      <c r="Z170" s="77" t="str">
        <f t="shared" si="135"/>
        <v/>
      </c>
      <c r="AA170" s="69" t="str">
        <f t="shared" si="136"/>
        <v/>
      </c>
      <c r="AB170" s="29">
        <f>SUM(AB171:AB175)</f>
        <v>0</v>
      </c>
      <c r="AC170" s="77" t="str">
        <f t="shared" si="137"/>
        <v/>
      </c>
      <c r="AD170" s="69" t="str">
        <f t="shared" si="138"/>
        <v/>
      </c>
      <c r="AE170" s="29">
        <f>SUM(AE171:AE175)</f>
        <v>0</v>
      </c>
      <c r="AF170" s="77" t="str">
        <f t="shared" si="139"/>
        <v/>
      </c>
      <c r="AG170" s="69" t="str">
        <f t="shared" si="140"/>
        <v/>
      </c>
      <c r="AH170" s="29">
        <f>SUM(AH171:AH175)</f>
        <v>0</v>
      </c>
      <c r="AI170" s="77" t="str">
        <f t="shared" si="141"/>
        <v/>
      </c>
      <c r="AJ170" s="69" t="str">
        <f t="shared" si="142"/>
        <v/>
      </c>
      <c r="AK170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0" s="77" t="str">
        <f t="shared" si="143"/>
        <v/>
      </c>
      <c r="AM170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71" spans="1:39" outlineLevel="1" x14ac:dyDescent="0.25">
      <c r="A171" s="30" t="s">
        <v>290</v>
      </c>
      <c r="B171" s="31"/>
      <c r="C171" s="78" t="str">
        <f t="shared" si="120"/>
        <v/>
      </c>
      <c r="D171" s="31"/>
      <c r="E171" s="78" t="str">
        <f t="shared" si="121"/>
        <v/>
      </c>
      <c r="F171" s="69" t="str">
        <f t="shared" si="122"/>
        <v/>
      </c>
      <c r="G171" s="31"/>
      <c r="H171" s="78" t="str">
        <f t="shared" si="123"/>
        <v/>
      </c>
      <c r="I171" s="69" t="str">
        <f t="shared" si="124"/>
        <v/>
      </c>
      <c r="J171" s="31"/>
      <c r="K171" s="78" t="str">
        <f t="shared" si="125"/>
        <v/>
      </c>
      <c r="L171" s="69" t="str">
        <f t="shared" si="126"/>
        <v/>
      </c>
      <c r="M171" s="31"/>
      <c r="N171" s="78" t="str">
        <f t="shared" si="127"/>
        <v/>
      </c>
      <c r="O171" s="69" t="str">
        <f t="shared" si="128"/>
        <v/>
      </c>
      <c r="P171" s="31"/>
      <c r="Q171" s="78" t="str">
        <f t="shared" si="129"/>
        <v/>
      </c>
      <c r="R171" s="69" t="str">
        <f t="shared" si="130"/>
        <v/>
      </c>
      <c r="S171" s="31"/>
      <c r="T171" s="78" t="str">
        <f t="shared" si="131"/>
        <v/>
      </c>
      <c r="U171" s="69" t="str">
        <f t="shared" si="132"/>
        <v/>
      </c>
      <c r="V171" s="31"/>
      <c r="W171" s="78" t="str">
        <f t="shared" si="133"/>
        <v/>
      </c>
      <c r="X171" s="69" t="str">
        <f t="shared" si="134"/>
        <v/>
      </c>
      <c r="Y171" s="31"/>
      <c r="Z171" s="78" t="str">
        <f t="shared" si="135"/>
        <v/>
      </c>
      <c r="AA171" s="69" t="str">
        <f t="shared" si="136"/>
        <v/>
      </c>
      <c r="AB171" s="31"/>
      <c r="AC171" s="78" t="str">
        <f t="shared" si="137"/>
        <v/>
      </c>
      <c r="AD171" s="69" t="str">
        <f t="shared" si="138"/>
        <v/>
      </c>
      <c r="AE171" s="31"/>
      <c r="AF171" s="78" t="str">
        <f t="shared" si="139"/>
        <v/>
      </c>
      <c r="AG171" s="69" t="str">
        <f t="shared" si="140"/>
        <v/>
      </c>
      <c r="AH171" s="31"/>
      <c r="AI171" s="78" t="str">
        <f t="shared" si="141"/>
        <v/>
      </c>
      <c r="AJ171" s="69" t="str">
        <f t="shared" si="142"/>
        <v/>
      </c>
      <c r="AK171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1" s="78" t="str">
        <f t="shared" si="143"/>
        <v/>
      </c>
      <c r="AM171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2" spans="1:39" outlineLevel="1" x14ac:dyDescent="0.25">
      <c r="A172" s="30" t="s">
        <v>291</v>
      </c>
      <c r="B172" s="31"/>
      <c r="C172" s="78" t="str">
        <f t="shared" si="120"/>
        <v/>
      </c>
      <c r="D172" s="31"/>
      <c r="E172" s="78" t="str">
        <f t="shared" si="121"/>
        <v/>
      </c>
      <c r="F172" s="69" t="str">
        <f t="shared" si="122"/>
        <v/>
      </c>
      <c r="G172" s="31"/>
      <c r="H172" s="78" t="str">
        <f t="shared" si="123"/>
        <v/>
      </c>
      <c r="I172" s="69" t="str">
        <f t="shared" si="124"/>
        <v/>
      </c>
      <c r="J172" s="31"/>
      <c r="K172" s="78" t="str">
        <f t="shared" si="125"/>
        <v/>
      </c>
      <c r="L172" s="69" t="str">
        <f t="shared" si="126"/>
        <v/>
      </c>
      <c r="M172" s="31"/>
      <c r="N172" s="78" t="str">
        <f t="shared" si="127"/>
        <v/>
      </c>
      <c r="O172" s="69" t="str">
        <f t="shared" si="128"/>
        <v/>
      </c>
      <c r="P172" s="31"/>
      <c r="Q172" s="78" t="str">
        <f t="shared" si="129"/>
        <v/>
      </c>
      <c r="R172" s="69" t="str">
        <f t="shared" si="130"/>
        <v/>
      </c>
      <c r="S172" s="31"/>
      <c r="T172" s="78" t="str">
        <f t="shared" si="131"/>
        <v/>
      </c>
      <c r="U172" s="69" t="str">
        <f t="shared" si="132"/>
        <v/>
      </c>
      <c r="V172" s="31"/>
      <c r="W172" s="78" t="str">
        <f t="shared" si="133"/>
        <v/>
      </c>
      <c r="X172" s="69" t="str">
        <f t="shared" si="134"/>
        <v/>
      </c>
      <c r="Y172" s="31"/>
      <c r="Z172" s="78" t="str">
        <f t="shared" si="135"/>
        <v/>
      </c>
      <c r="AA172" s="69" t="str">
        <f t="shared" si="136"/>
        <v/>
      </c>
      <c r="AB172" s="31"/>
      <c r="AC172" s="78" t="str">
        <f t="shared" si="137"/>
        <v/>
      </c>
      <c r="AD172" s="69" t="str">
        <f t="shared" si="138"/>
        <v/>
      </c>
      <c r="AE172" s="31"/>
      <c r="AF172" s="78" t="str">
        <f t="shared" si="139"/>
        <v/>
      </c>
      <c r="AG172" s="69" t="str">
        <f t="shared" si="140"/>
        <v/>
      </c>
      <c r="AH172" s="31"/>
      <c r="AI172" s="78" t="str">
        <f t="shared" si="141"/>
        <v/>
      </c>
      <c r="AJ172" s="69" t="str">
        <f t="shared" si="142"/>
        <v/>
      </c>
      <c r="AK17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2" s="78" t="str">
        <f t="shared" si="143"/>
        <v/>
      </c>
      <c r="AM17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3" spans="1:39" outlineLevel="1" x14ac:dyDescent="0.25">
      <c r="A173" s="30" t="s">
        <v>292</v>
      </c>
      <c r="B173" s="31"/>
      <c r="C173" s="78" t="str">
        <f t="shared" si="120"/>
        <v/>
      </c>
      <c r="D173" s="31"/>
      <c r="E173" s="78" t="str">
        <f t="shared" si="121"/>
        <v/>
      </c>
      <c r="F173" s="69" t="str">
        <f t="shared" si="122"/>
        <v/>
      </c>
      <c r="G173" s="31"/>
      <c r="H173" s="78" t="str">
        <f t="shared" si="123"/>
        <v/>
      </c>
      <c r="I173" s="69" t="str">
        <f t="shared" si="124"/>
        <v/>
      </c>
      <c r="J173" s="31"/>
      <c r="K173" s="78" t="str">
        <f t="shared" si="125"/>
        <v/>
      </c>
      <c r="L173" s="69" t="str">
        <f t="shared" si="126"/>
        <v/>
      </c>
      <c r="M173" s="31"/>
      <c r="N173" s="78" t="str">
        <f t="shared" si="127"/>
        <v/>
      </c>
      <c r="O173" s="69" t="str">
        <f t="shared" si="128"/>
        <v/>
      </c>
      <c r="P173" s="31"/>
      <c r="Q173" s="78" t="str">
        <f t="shared" si="129"/>
        <v/>
      </c>
      <c r="R173" s="69" t="str">
        <f t="shared" si="130"/>
        <v/>
      </c>
      <c r="S173" s="31"/>
      <c r="T173" s="78" t="str">
        <f t="shared" si="131"/>
        <v/>
      </c>
      <c r="U173" s="69" t="str">
        <f t="shared" si="132"/>
        <v/>
      </c>
      <c r="V173" s="31"/>
      <c r="W173" s="78" t="str">
        <f t="shared" si="133"/>
        <v/>
      </c>
      <c r="X173" s="69" t="str">
        <f t="shared" si="134"/>
        <v/>
      </c>
      <c r="Y173" s="31"/>
      <c r="Z173" s="78" t="str">
        <f t="shared" si="135"/>
        <v/>
      </c>
      <c r="AA173" s="69" t="str">
        <f t="shared" si="136"/>
        <v/>
      </c>
      <c r="AB173" s="31"/>
      <c r="AC173" s="78" t="str">
        <f t="shared" si="137"/>
        <v/>
      </c>
      <c r="AD173" s="69" t="str">
        <f t="shared" si="138"/>
        <v/>
      </c>
      <c r="AE173" s="31"/>
      <c r="AF173" s="78" t="str">
        <f t="shared" si="139"/>
        <v/>
      </c>
      <c r="AG173" s="69" t="str">
        <f t="shared" si="140"/>
        <v/>
      </c>
      <c r="AH173" s="31"/>
      <c r="AI173" s="78" t="str">
        <f t="shared" si="141"/>
        <v/>
      </c>
      <c r="AJ173" s="69" t="str">
        <f t="shared" si="142"/>
        <v/>
      </c>
      <c r="AK17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3" s="78" t="str">
        <f t="shared" si="143"/>
        <v/>
      </c>
      <c r="AM17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4" spans="1:39" outlineLevel="1" x14ac:dyDescent="0.25">
      <c r="A174" s="30" t="s">
        <v>293</v>
      </c>
      <c r="B174" s="31"/>
      <c r="C174" s="78" t="str">
        <f t="shared" si="120"/>
        <v/>
      </c>
      <c r="D174" s="31"/>
      <c r="E174" s="78" t="str">
        <f t="shared" si="121"/>
        <v/>
      </c>
      <c r="F174" s="69" t="str">
        <f t="shared" si="122"/>
        <v/>
      </c>
      <c r="G174" s="31"/>
      <c r="H174" s="78" t="str">
        <f t="shared" si="123"/>
        <v/>
      </c>
      <c r="I174" s="69" t="str">
        <f t="shared" si="124"/>
        <v/>
      </c>
      <c r="J174" s="31"/>
      <c r="K174" s="78" t="str">
        <f t="shared" si="125"/>
        <v/>
      </c>
      <c r="L174" s="69" t="str">
        <f t="shared" si="126"/>
        <v/>
      </c>
      <c r="M174" s="31"/>
      <c r="N174" s="78" t="str">
        <f t="shared" si="127"/>
        <v/>
      </c>
      <c r="O174" s="69" t="str">
        <f t="shared" si="128"/>
        <v/>
      </c>
      <c r="P174" s="31"/>
      <c r="Q174" s="78" t="str">
        <f t="shared" si="129"/>
        <v/>
      </c>
      <c r="R174" s="69" t="str">
        <f t="shared" si="130"/>
        <v/>
      </c>
      <c r="S174" s="31"/>
      <c r="T174" s="78" t="str">
        <f t="shared" si="131"/>
        <v/>
      </c>
      <c r="U174" s="69" t="str">
        <f t="shared" si="132"/>
        <v/>
      </c>
      <c r="V174" s="31"/>
      <c r="W174" s="78" t="str">
        <f t="shared" si="133"/>
        <v/>
      </c>
      <c r="X174" s="69" t="str">
        <f t="shared" si="134"/>
        <v/>
      </c>
      <c r="Y174" s="31"/>
      <c r="Z174" s="78" t="str">
        <f t="shared" si="135"/>
        <v/>
      </c>
      <c r="AA174" s="69" t="str">
        <f t="shared" si="136"/>
        <v/>
      </c>
      <c r="AB174" s="31"/>
      <c r="AC174" s="78" t="str">
        <f t="shared" si="137"/>
        <v/>
      </c>
      <c r="AD174" s="69" t="str">
        <f t="shared" si="138"/>
        <v/>
      </c>
      <c r="AE174" s="31"/>
      <c r="AF174" s="78" t="str">
        <f t="shared" si="139"/>
        <v/>
      </c>
      <c r="AG174" s="69" t="str">
        <f t="shared" si="140"/>
        <v/>
      </c>
      <c r="AH174" s="31"/>
      <c r="AI174" s="78" t="str">
        <f t="shared" si="141"/>
        <v/>
      </c>
      <c r="AJ174" s="69" t="str">
        <f t="shared" si="142"/>
        <v/>
      </c>
      <c r="AK17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4" s="78" t="str">
        <f t="shared" si="143"/>
        <v/>
      </c>
      <c r="AM17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5" spans="1:39" outlineLevel="1" x14ac:dyDescent="0.25">
      <c r="A175" s="30"/>
      <c r="B175" s="31"/>
      <c r="C175" s="78" t="str">
        <f t="shared" si="120"/>
        <v/>
      </c>
      <c r="D175" s="31"/>
      <c r="E175" s="78" t="str">
        <f t="shared" si="121"/>
        <v/>
      </c>
      <c r="F175" s="69" t="str">
        <f t="shared" si="122"/>
        <v/>
      </c>
      <c r="G175" s="31"/>
      <c r="H175" s="78" t="str">
        <f t="shared" si="123"/>
        <v/>
      </c>
      <c r="I175" s="69" t="str">
        <f t="shared" si="124"/>
        <v/>
      </c>
      <c r="J175" s="31"/>
      <c r="K175" s="78" t="str">
        <f t="shared" si="125"/>
        <v/>
      </c>
      <c r="L175" s="69" t="str">
        <f t="shared" si="126"/>
        <v/>
      </c>
      <c r="M175" s="31"/>
      <c r="N175" s="78" t="str">
        <f t="shared" si="127"/>
        <v/>
      </c>
      <c r="O175" s="69" t="str">
        <f t="shared" si="128"/>
        <v/>
      </c>
      <c r="P175" s="31"/>
      <c r="Q175" s="78" t="str">
        <f t="shared" si="129"/>
        <v/>
      </c>
      <c r="R175" s="69" t="str">
        <f t="shared" si="130"/>
        <v/>
      </c>
      <c r="S175" s="31"/>
      <c r="T175" s="78" t="str">
        <f t="shared" si="131"/>
        <v/>
      </c>
      <c r="U175" s="69" t="str">
        <f t="shared" si="132"/>
        <v/>
      </c>
      <c r="V175" s="31"/>
      <c r="W175" s="78" t="str">
        <f t="shared" si="133"/>
        <v/>
      </c>
      <c r="X175" s="69" t="str">
        <f t="shared" si="134"/>
        <v/>
      </c>
      <c r="Y175" s="31"/>
      <c r="Z175" s="78" t="str">
        <f t="shared" si="135"/>
        <v/>
      </c>
      <c r="AA175" s="69" t="str">
        <f t="shared" si="136"/>
        <v/>
      </c>
      <c r="AB175" s="31"/>
      <c r="AC175" s="78" t="str">
        <f t="shared" si="137"/>
        <v/>
      </c>
      <c r="AD175" s="69" t="str">
        <f t="shared" si="138"/>
        <v/>
      </c>
      <c r="AE175" s="31"/>
      <c r="AF175" s="78" t="str">
        <f t="shared" si="139"/>
        <v/>
      </c>
      <c r="AG175" s="69" t="str">
        <f t="shared" si="140"/>
        <v/>
      </c>
      <c r="AH175" s="31"/>
      <c r="AI175" s="78" t="str">
        <f t="shared" si="141"/>
        <v/>
      </c>
      <c r="AJ175" s="69" t="str">
        <f t="shared" si="142"/>
        <v/>
      </c>
      <c r="AK17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5" s="78" t="str">
        <f t="shared" si="143"/>
        <v/>
      </c>
      <c r="AM17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6" spans="1:39" outlineLevel="1" x14ac:dyDescent="0.25">
      <c r="A176" s="28" t="s">
        <v>294</v>
      </c>
      <c r="B176" s="29">
        <f>SUM(B177:B180)</f>
        <v>0</v>
      </c>
      <c r="C176" s="77" t="str">
        <f t="shared" si="120"/>
        <v/>
      </c>
      <c r="D176" s="29">
        <f>SUM(D177:D180)</f>
        <v>0</v>
      </c>
      <c r="E176" s="77" t="str">
        <f t="shared" si="121"/>
        <v/>
      </c>
      <c r="F176" s="69" t="str">
        <f t="shared" si="122"/>
        <v/>
      </c>
      <c r="G176" s="29">
        <f>SUM(G177:G180)</f>
        <v>0</v>
      </c>
      <c r="H176" s="77" t="str">
        <f t="shared" si="123"/>
        <v/>
      </c>
      <c r="I176" s="69" t="str">
        <f t="shared" si="124"/>
        <v/>
      </c>
      <c r="J176" s="29">
        <f>SUM(J177:J180)</f>
        <v>0</v>
      </c>
      <c r="K176" s="77" t="str">
        <f t="shared" si="125"/>
        <v/>
      </c>
      <c r="L176" s="69" t="str">
        <f t="shared" si="126"/>
        <v/>
      </c>
      <c r="M176" s="29">
        <f>SUM(M177:M180)</f>
        <v>0</v>
      </c>
      <c r="N176" s="77" t="str">
        <f t="shared" si="127"/>
        <v/>
      </c>
      <c r="O176" s="69" t="str">
        <f t="shared" si="128"/>
        <v/>
      </c>
      <c r="P176" s="29">
        <f>SUM(P177:P180)</f>
        <v>0</v>
      </c>
      <c r="Q176" s="77" t="str">
        <f t="shared" si="129"/>
        <v/>
      </c>
      <c r="R176" s="69" t="str">
        <f t="shared" si="130"/>
        <v/>
      </c>
      <c r="S176" s="29">
        <f>SUM(S177:S180)</f>
        <v>0</v>
      </c>
      <c r="T176" s="77" t="str">
        <f t="shared" si="131"/>
        <v/>
      </c>
      <c r="U176" s="69" t="str">
        <f t="shared" si="132"/>
        <v/>
      </c>
      <c r="V176" s="29">
        <f>SUM(V177:V180)</f>
        <v>0</v>
      </c>
      <c r="W176" s="77" t="str">
        <f t="shared" si="133"/>
        <v/>
      </c>
      <c r="X176" s="69" t="str">
        <f t="shared" si="134"/>
        <v/>
      </c>
      <c r="Y176" s="29">
        <f>SUM(Y177:Y180)</f>
        <v>0</v>
      </c>
      <c r="Z176" s="77" t="str">
        <f t="shared" si="135"/>
        <v/>
      </c>
      <c r="AA176" s="69" t="str">
        <f t="shared" si="136"/>
        <v/>
      </c>
      <c r="AB176" s="29">
        <f>SUM(AB177:AB180)</f>
        <v>0</v>
      </c>
      <c r="AC176" s="77" t="str">
        <f t="shared" si="137"/>
        <v/>
      </c>
      <c r="AD176" s="69" t="str">
        <f t="shared" si="138"/>
        <v/>
      </c>
      <c r="AE176" s="29">
        <f>SUM(AE177:AE180)</f>
        <v>0</v>
      </c>
      <c r="AF176" s="77" t="str">
        <f t="shared" si="139"/>
        <v/>
      </c>
      <c r="AG176" s="69" t="str">
        <f t="shared" si="140"/>
        <v/>
      </c>
      <c r="AH176" s="29">
        <f>SUM(AH177:AH180)</f>
        <v>0</v>
      </c>
      <c r="AI176" s="77" t="str">
        <f t="shared" si="141"/>
        <v/>
      </c>
      <c r="AJ176" s="69" t="str">
        <f t="shared" si="142"/>
        <v/>
      </c>
      <c r="AK176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6" s="77" t="str">
        <f t="shared" si="143"/>
        <v/>
      </c>
      <c r="AM176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77" spans="1:39" outlineLevel="1" x14ac:dyDescent="0.25">
      <c r="A177" s="30" t="s">
        <v>295</v>
      </c>
      <c r="B177" s="31"/>
      <c r="C177" s="78" t="str">
        <f t="shared" si="120"/>
        <v/>
      </c>
      <c r="D177" s="31"/>
      <c r="E177" s="78" t="str">
        <f t="shared" si="121"/>
        <v/>
      </c>
      <c r="F177" s="69" t="str">
        <f t="shared" si="122"/>
        <v/>
      </c>
      <c r="G177" s="31"/>
      <c r="H177" s="78" t="str">
        <f t="shared" si="123"/>
        <v/>
      </c>
      <c r="I177" s="69" t="str">
        <f t="shared" si="124"/>
        <v/>
      </c>
      <c r="J177" s="31"/>
      <c r="K177" s="78" t="str">
        <f t="shared" si="125"/>
        <v/>
      </c>
      <c r="L177" s="69" t="str">
        <f t="shared" si="126"/>
        <v/>
      </c>
      <c r="M177" s="31"/>
      <c r="N177" s="78" t="str">
        <f t="shared" si="127"/>
        <v/>
      </c>
      <c r="O177" s="69" t="str">
        <f t="shared" si="128"/>
        <v/>
      </c>
      <c r="P177" s="31"/>
      <c r="Q177" s="78" t="str">
        <f t="shared" si="129"/>
        <v/>
      </c>
      <c r="R177" s="69" t="str">
        <f t="shared" si="130"/>
        <v/>
      </c>
      <c r="S177" s="31"/>
      <c r="T177" s="78" t="str">
        <f t="shared" si="131"/>
        <v/>
      </c>
      <c r="U177" s="69" t="str">
        <f t="shared" si="132"/>
        <v/>
      </c>
      <c r="V177" s="31"/>
      <c r="W177" s="78" t="str">
        <f t="shared" si="133"/>
        <v/>
      </c>
      <c r="X177" s="69" t="str">
        <f t="shared" si="134"/>
        <v/>
      </c>
      <c r="Y177" s="31"/>
      <c r="Z177" s="78" t="str">
        <f t="shared" si="135"/>
        <v/>
      </c>
      <c r="AA177" s="69" t="str">
        <f t="shared" si="136"/>
        <v/>
      </c>
      <c r="AB177" s="31"/>
      <c r="AC177" s="78" t="str">
        <f t="shared" si="137"/>
        <v/>
      </c>
      <c r="AD177" s="69" t="str">
        <f t="shared" si="138"/>
        <v/>
      </c>
      <c r="AE177" s="31"/>
      <c r="AF177" s="78" t="str">
        <f t="shared" si="139"/>
        <v/>
      </c>
      <c r="AG177" s="69" t="str">
        <f t="shared" si="140"/>
        <v/>
      </c>
      <c r="AH177" s="31"/>
      <c r="AI177" s="78" t="str">
        <f t="shared" si="141"/>
        <v/>
      </c>
      <c r="AJ177" s="69" t="str">
        <f t="shared" si="142"/>
        <v/>
      </c>
      <c r="AK17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7" s="78" t="str">
        <f t="shared" si="143"/>
        <v/>
      </c>
      <c r="AM17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8" spans="1:39" outlineLevel="1" x14ac:dyDescent="0.25">
      <c r="A178" s="30" t="s">
        <v>296</v>
      </c>
      <c r="B178" s="31"/>
      <c r="C178" s="78" t="str">
        <f t="shared" si="120"/>
        <v/>
      </c>
      <c r="D178" s="31"/>
      <c r="E178" s="78" t="str">
        <f t="shared" si="121"/>
        <v/>
      </c>
      <c r="F178" s="69" t="str">
        <f t="shared" si="122"/>
        <v/>
      </c>
      <c r="G178" s="31"/>
      <c r="H178" s="78" t="str">
        <f t="shared" si="123"/>
        <v/>
      </c>
      <c r="I178" s="69" t="str">
        <f t="shared" si="124"/>
        <v/>
      </c>
      <c r="J178" s="31"/>
      <c r="K178" s="78" t="str">
        <f t="shared" si="125"/>
        <v/>
      </c>
      <c r="L178" s="69" t="str">
        <f t="shared" si="126"/>
        <v/>
      </c>
      <c r="M178" s="31"/>
      <c r="N178" s="78" t="str">
        <f t="shared" si="127"/>
        <v/>
      </c>
      <c r="O178" s="69" t="str">
        <f t="shared" si="128"/>
        <v/>
      </c>
      <c r="P178" s="31"/>
      <c r="Q178" s="78" t="str">
        <f t="shared" si="129"/>
        <v/>
      </c>
      <c r="R178" s="69" t="str">
        <f t="shared" si="130"/>
        <v/>
      </c>
      <c r="S178" s="31"/>
      <c r="T178" s="78" t="str">
        <f t="shared" si="131"/>
        <v/>
      </c>
      <c r="U178" s="69" t="str">
        <f t="shared" si="132"/>
        <v/>
      </c>
      <c r="V178" s="31"/>
      <c r="W178" s="78" t="str">
        <f t="shared" si="133"/>
        <v/>
      </c>
      <c r="X178" s="69" t="str">
        <f t="shared" si="134"/>
        <v/>
      </c>
      <c r="Y178" s="31"/>
      <c r="Z178" s="78" t="str">
        <f t="shared" si="135"/>
        <v/>
      </c>
      <c r="AA178" s="69" t="str">
        <f t="shared" si="136"/>
        <v/>
      </c>
      <c r="AB178" s="31"/>
      <c r="AC178" s="78" t="str">
        <f t="shared" si="137"/>
        <v/>
      </c>
      <c r="AD178" s="69" t="str">
        <f t="shared" si="138"/>
        <v/>
      </c>
      <c r="AE178" s="31"/>
      <c r="AF178" s="78" t="str">
        <f t="shared" si="139"/>
        <v/>
      </c>
      <c r="AG178" s="69" t="str">
        <f t="shared" si="140"/>
        <v/>
      </c>
      <c r="AH178" s="31"/>
      <c r="AI178" s="78" t="str">
        <f t="shared" si="141"/>
        <v/>
      </c>
      <c r="AJ178" s="69" t="str">
        <f t="shared" si="142"/>
        <v/>
      </c>
      <c r="AK17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8" s="78" t="str">
        <f t="shared" si="143"/>
        <v/>
      </c>
      <c r="AM17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79" spans="1:39" outlineLevel="1" x14ac:dyDescent="0.25">
      <c r="A179" s="30" t="s">
        <v>297</v>
      </c>
      <c r="B179" s="31"/>
      <c r="C179" s="78" t="str">
        <f t="shared" si="120"/>
        <v/>
      </c>
      <c r="D179" s="31"/>
      <c r="E179" s="78" t="str">
        <f t="shared" si="121"/>
        <v/>
      </c>
      <c r="F179" s="69" t="str">
        <f t="shared" si="122"/>
        <v/>
      </c>
      <c r="G179" s="31"/>
      <c r="H179" s="78" t="str">
        <f t="shared" si="123"/>
        <v/>
      </c>
      <c r="I179" s="69" t="str">
        <f t="shared" si="124"/>
        <v/>
      </c>
      <c r="J179" s="31"/>
      <c r="K179" s="78" t="str">
        <f t="shared" si="125"/>
        <v/>
      </c>
      <c r="L179" s="69" t="str">
        <f t="shared" si="126"/>
        <v/>
      </c>
      <c r="M179" s="31"/>
      <c r="N179" s="78" t="str">
        <f t="shared" si="127"/>
        <v/>
      </c>
      <c r="O179" s="69" t="str">
        <f t="shared" si="128"/>
        <v/>
      </c>
      <c r="P179" s="31"/>
      <c r="Q179" s="78" t="str">
        <f t="shared" si="129"/>
        <v/>
      </c>
      <c r="R179" s="69" t="str">
        <f t="shared" si="130"/>
        <v/>
      </c>
      <c r="S179" s="31"/>
      <c r="T179" s="78" t="str">
        <f t="shared" si="131"/>
        <v/>
      </c>
      <c r="U179" s="69" t="str">
        <f t="shared" si="132"/>
        <v/>
      </c>
      <c r="V179" s="31"/>
      <c r="W179" s="78" t="str">
        <f t="shared" si="133"/>
        <v/>
      </c>
      <c r="X179" s="69" t="str">
        <f t="shared" si="134"/>
        <v/>
      </c>
      <c r="Y179" s="31"/>
      <c r="Z179" s="78" t="str">
        <f t="shared" si="135"/>
        <v/>
      </c>
      <c r="AA179" s="69" t="str">
        <f t="shared" si="136"/>
        <v/>
      </c>
      <c r="AB179" s="31"/>
      <c r="AC179" s="78" t="str">
        <f t="shared" si="137"/>
        <v/>
      </c>
      <c r="AD179" s="69" t="str">
        <f t="shared" si="138"/>
        <v/>
      </c>
      <c r="AE179" s="31"/>
      <c r="AF179" s="78" t="str">
        <f t="shared" si="139"/>
        <v/>
      </c>
      <c r="AG179" s="69" t="str">
        <f t="shared" si="140"/>
        <v/>
      </c>
      <c r="AH179" s="31"/>
      <c r="AI179" s="78" t="str">
        <f t="shared" si="141"/>
        <v/>
      </c>
      <c r="AJ179" s="69" t="str">
        <f t="shared" si="142"/>
        <v/>
      </c>
      <c r="AK17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79" s="78" t="str">
        <f t="shared" si="143"/>
        <v/>
      </c>
      <c r="AM17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0" spans="1:39" outlineLevel="1" x14ac:dyDescent="0.25">
      <c r="A180" s="30"/>
      <c r="B180" s="31"/>
      <c r="C180" s="78" t="str">
        <f t="shared" si="120"/>
        <v/>
      </c>
      <c r="D180" s="31"/>
      <c r="E180" s="78" t="str">
        <f t="shared" si="121"/>
        <v/>
      </c>
      <c r="F180" s="69" t="str">
        <f t="shared" si="122"/>
        <v/>
      </c>
      <c r="G180" s="31"/>
      <c r="H180" s="78" t="str">
        <f t="shared" si="123"/>
        <v/>
      </c>
      <c r="I180" s="69" t="str">
        <f t="shared" si="124"/>
        <v/>
      </c>
      <c r="J180" s="31"/>
      <c r="K180" s="78" t="str">
        <f t="shared" si="125"/>
        <v/>
      </c>
      <c r="L180" s="69" t="str">
        <f t="shared" si="126"/>
        <v/>
      </c>
      <c r="M180" s="31"/>
      <c r="N180" s="78" t="str">
        <f t="shared" si="127"/>
        <v/>
      </c>
      <c r="O180" s="69" t="str">
        <f t="shared" si="128"/>
        <v/>
      </c>
      <c r="P180" s="31"/>
      <c r="Q180" s="78" t="str">
        <f t="shared" si="129"/>
        <v/>
      </c>
      <c r="R180" s="69" t="str">
        <f t="shared" si="130"/>
        <v/>
      </c>
      <c r="S180" s="31"/>
      <c r="T180" s="78" t="str">
        <f t="shared" si="131"/>
        <v/>
      </c>
      <c r="U180" s="69" t="str">
        <f t="shared" si="132"/>
        <v/>
      </c>
      <c r="V180" s="31"/>
      <c r="W180" s="78" t="str">
        <f t="shared" si="133"/>
        <v/>
      </c>
      <c r="X180" s="69" t="str">
        <f t="shared" si="134"/>
        <v/>
      </c>
      <c r="Y180" s="31"/>
      <c r="Z180" s="78" t="str">
        <f t="shared" si="135"/>
        <v/>
      </c>
      <c r="AA180" s="69" t="str">
        <f t="shared" si="136"/>
        <v/>
      </c>
      <c r="AB180" s="31"/>
      <c r="AC180" s="78" t="str">
        <f t="shared" si="137"/>
        <v/>
      </c>
      <c r="AD180" s="69" t="str">
        <f t="shared" si="138"/>
        <v/>
      </c>
      <c r="AE180" s="31"/>
      <c r="AF180" s="78" t="str">
        <f t="shared" si="139"/>
        <v/>
      </c>
      <c r="AG180" s="69" t="str">
        <f t="shared" si="140"/>
        <v/>
      </c>
      <c r="AH180" s="31"/>
      <c r="AI180" s="78" t="str">
        <f t="shared" si="141"/>
        <v/>
      </c>
      <c r="AJ180" s="69" t="str">
        <f t="shared" si="142"/>
        <v/>
      </c>
      <c r="AK180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0" s="78" t="str">
        <f t="shared" si="143"/>
        <v/>
      </c>
      <c r="AM180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1" spans="1:39" outlineLevel="1" x14ac:dyDescent="0.25">
      <c r="A181" s="28" t="s">
        <v>298</v>
      </c>
      <c r="B181" s="29">
        <f>SUM(B182:B185)</f>
        <v>0</v>
      </c>
      <c r="C181" s="77" t="str">
        <f t="shared" si="120"/>
        <v/>
      </c>
      <c r="D181" s="29">
        <f>SUM(D182:D185)</f>
        <v>0</v>
      </c>
      <c r="E181" s="77" t="str">
        <f t="shared" si="121"/>
        <v/>
      </c>
      <c r="F181" s="69" t="str">
        <f t="shared" si="122"/>
        <v/>
      </c>
      <c r="G181" s="29">
        <f>SUM(G182:G185)</f>
        <v>0</v>
      </c>
      <c r="H181" s="77" t="str">
        <f t="shared" si="123"/>
        <v/>
      </c>
      <c r="I181" s="69" t="str">
        <f t="shared" si="124"/>
        <v/>
      </c>
      <c r="J181" s="29">
        <f>SUM(J182:J185)</f>
        <v>0</v>
      </c>
      <c r="K181" s="77" t="str">
        <f t="shared" si="125"/>
        <v/>
      </c>
      <c r="L181" s="69" t="str">
        <f t="shared" si="126"/>
        <v/>
      </c>
      <c r="M181" s="29">
        <f>SUM(M182:M185)</f>
        <v>0</v>
      </c>
      <c r="N181" s="77" t="str">
        <f t="shared" si="127"/>
        <v/>
      </c>
      <c r="O181" s="69" t="str">
        <f t="shared" si="128"/>
        <v/>
      </c>
      <c r="P181" s="29">
        <f>SUM(P182:P185)</f>
        <v>0</v>
      </c>
      <c r="Q181" s="77" t="str">
        <f t="shared" si="129"/>
        <v/>
      </c>
      <c r="R181" s="69" t="str">
        <f t="shared" si="130"/>
        <v/>
      </c>
      <c r="S181" s="29">
        <f>SUM(S182:S185)</f>
        <v>0</v>
      </c>
      <c r="T181" s="77" t="str">
        <f t="shared" si="131"/>
        <v/>
      </c>
      <c r="U181" s="69" t="str">
        <f t="shared" si="132"/>
        <v/>
      </c>
      <c r="V181" s="29">
        <f>SUM(V182:V185)</f>
        <v>0</v>
      </c>
      <c r="W181" s="77" t="str">
        <f t="shared" si="133"/>
        <v/>
      </c>
      <c r="X181" s="69" t="str">
        <f t="shared" si="134"/>
        <v/>
      </c>
      <c r="Y181" s="29">
        <f>SUM(Y182:Y185)</f>
        <v>0</v>
      </c>
      <c r="Z181" s="77" t="str">
        <f t="shared" si="135"/>
        <v/>
      </c>
      <c r="AA181" s="69" t="str">
        <f t="shared" si="136"/>
        <v/>
      </c>
      <c r="AB181" s="29">
        <f>SUM(AB182:AB185)</f>
        <v>0</v>
      </c>
      <c r="AC181" s="77" t="str">
        <f t="shared" si="137"/>
        <v/>
      </c>
      <c r="AD181" s="69" t="str">
        <f t="shared" si="138"/>
        <v/>
      </c>
      <c r="AE181" s="29">
        <f>SUM(AE182:AE185)</f>
        <v>0</v>
      </c>
      <c r="AF181" s="77" t="str">
        <f t="shared" si="139"/>
        <v/>
      </c>
      <c r="AG181" s="69" t="str">
        <f t="shared" si="140"/>
        <v/>
      </c>
      <c r="AH181" s="29">
        <f>SUM(AH182:AH185)</f>
        <v>0</v>
      </c>
      <c r="AI181" s="77" t="str">
        <f t="shared" si="141"/>
        <v/>
      </c>
      <c r="AJ181" s="69" t="str">
        <f t="shared" si="142"/>
        <v/>
      </c>
      <c r="AK181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1" s="77" t="str">
        <f t="shared" si="143"/>
        <v/>
      </c>
      <c r="AM181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82" spans="1:39" outlineLevel="1" x14ac:dyDescent="0.25">
      <c r="A182" s="30" t="s">
        <v>299</v>
      </c>
      <c r="B182" s="31"/>
      <c r="C182" s="78" t="str">
        <f t="shared" si="120"/>
        <v/>
      </c>
      <c r="D182" s="31"/>
      <c r="E182" s="78" t="str">
        <f t="shared" si="121"/>
        <v/>
      </c>
      <c r="F182" s="69" t="str">
        <f t="shared" si="122"/>
        <v/>
      </c>
      <c r="G182" s="31"/>
      <c r="H182" s="78" t="str">
        <f t="shared" si="123"/>
        <v/>
      </c>
      <c r="I182" s="69" t="str">
        <f t="shared" si="124"/>
        <v/>
      </c>
      <c r="J182" s="31"/>
      <c r="K182" s="78" t="str">
        <f t="shared" si="125"/>
        <v/>
      </c>
      <c r="L182" s="69" t="str">
        <f t="shared" si="126"/>
        <v/>
      </c>
      <c r="M182" s="31"/>
      <c r="N182" s="78" t="str">
        <f t="shared" si="127"/>
        <v/>
      </c>
      <c r="O182" s="69" t="str">
        <f t="shared" si="128"/>
        <v/>
      </c>
      <c r="P182" s="31"/>
      <c r="Q182" s="78" t="str">
        <f t="shared" si="129"/>
        <v/>
      </c>
      <c r="R182" s="69" t="str">
        <f t="shared" si="130"/>
        <v/>
      </c>
      <c r="S182" s="31"/>
      <c r="T182" s="78" t="str">
        <f t="shared" si="131"/>
        <v/>
      </c>
      <c r="U182" s="69" t="str">
        <f t="shared" si="132"/>
        <v/>
      </c>
      <c r="V182" s="31"/>
      <c r="W182" s="78" t="str">
        <f t="shared" si="133"/>
        <v/>
      </c>
      <c r="X182" s="69" t="str">
        <f t="shared" si="134"/>
        <v/>
      </c>
      <c r="Y182" s="31"/>
      <c r="Z182" s="78" t="str">
        <f t="shared" si="135"/>
        <v/>
      </c>
      <c r="AA182" s="69" t="str">
        <f t="shared" si="136"/>
        <v/>
      </c>
      <c r="AB182" s="31"/>
      <c r="AC182" s="78" t="str">
        <f t="shared" si="137"/>
        <v/>
      </c>
      <c r="AD182" s="69" t="str">
        <f t="shared" si="138"/>
        <v/>
      </c>
      <c r="AE182" s="31"/>
      <c r="AF182" s="78" t="str">
        <f t="shared" si="139"/>
        <v/>
      </c>
      <c r="AG182" s="69" t="str">
        <f t="shared" si="140"/>
        <v/>
      </c>
      <c r="AH182" s="31"/>
      <c r="AI182" s="78" t="str">
        <f t="shared" si="141"/>
        <v/>
      </c>
      <c r="AJ182" s="69" t="str">
        <f t="shared" si="142"/>
        <v/>
      </c>
      <c r="AK182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2" s="78" t="str">
        <f t="shared" si="143"/>
        <v/>
      </c>
      <c r="AM182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3" spans="1:39" outlineLevel="1" x14ac:dyDescent="0.25">
      <c r="A183" s="30" t="s">
        <v>300</v>
      </c>
      <c r="B183" s="31"/>
      <c r="C183" s="78" t="str">
        <f t="shared" si="120"/>
        <v/>
      </c>
      <c r="D183" s="31"/>
      <c r="E183" s="78" t="str">
        <f t="shared" si="121"/>
        <v/>
      </c>
      <c r="F183" s="69" t="str">
        <f t="shared" si="122"/>
        <v/>
      </c>
      <c r="G183" s="31"/>
      <c r="H183" s="78" t="str">
        <f t="shared" si="123"/>
        <v/>
      </c>
      <c r="I183" s="69" t="str">
        <f t="shared" si="124"/>
        <v/>
      </c>
      <c r="J183" s="31"/>
      <c r="K183" s="78" t="str">
        <f t="shared" si="125"/>
        <v/>
      </c>
      <c r="L183" s="69" t="str">
        <f t="shared" si="126"/>
        <v/>
      </c>
      <c r="M183" s="31"/>
      <c r="N183" s="78" t="str">
        <f t="shared" si="127"/>
        <v/>
      </c>
      <c r="O183" s="69" t="str">
        <f t="shared" si="128"/>
        <v/>
      </c>
      <c r="P183" s="31"/>
      <c r="Q183" s="78" t="str">
        <f t="shared" si="129"/>
        <v/>
      </c>
      <c r="R183" s="69" t="str">
        <f t="shared" si="130"/>
        <v/>
      </c>
      <c r="S183" s="31"/>
      <c r="T183" s="78" t="str">
        <f t="shared" si="131"/>
        <v/>
      </c>
      <c r="U183" s="69" t="str">
        <f t="shared" si="132"/>
        <v/>
      </c>
      <c r="V183" s="31"/>
      <c r="W183" s="78" t="str">
        <f t="shared" si="133"/>
        <v/>
      </c>
      <c r="X183" s="69" t="str">
        <f t="shared" si="134"/>
        <v/>
      </c>
      <c r="Y183" s="31"/>
      <c r="Z183" s="78" t="str">
        <f t="shared" si="135"/>
        <v/>
      </c>
      <c r="AA183" s="69" t="str">
        <f t="shared" si="136"/>
        <v/>
      </c>
      <c r="AB183" s="31"/>
      <c r="AC183" s="78" t="str">
        <f t="shared" si="137"/>
        <v/>
      </c>
      <c r="AD183" s="69" t="str">
        <f t="shared" si="138"/>
        <v/>
      </c>
      <c r="AE183" s="31"/>
      <c r="AF183" s="78" t="str">
        <f t="shared" si="139"/>
        <v/>
      </c>
      <c r="AG183" s="69" t="str">
        <f t="shared" si="140"/>
        <v/>
      </c>
      <c r="AH183" s="31"/>
      <c r="AI183" s="78" t="str">
        <f t="shared" si="141"/>
        <v/>
      </c>
      <c r="AJ183" s="69" t="str">
        <f t="shared" si="142"/>
        <v/>
      </c>
      <c r="AK183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3" s="78" t="str">
        <f t="shared" si="143"/>
        <v/>
      </c>
      <c r="AM183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4" spans="1:39" outlineLevel="1" x14ac:dyDescent="0.25">
      <c r="A184" s="30" t="s">
        <v>301</v>
      </c>
      <c r="B184" s="31"/>
      <c r="C184" s="78" t="str">
        <f t="shared" si="120"/>
        <v/>
      </c>
      <c r="D184" s="31"/>
      <c r="E184" s="78" t="str">
        <f t="shared" si="121"/>
        <v/>
      </c>
      <c r="F184" s="69" t="str">
        <f t="shared" si="122"/>
        <v/>
      </c>
      <c r="G184" s="31"/>
      <c r="H184" s="78" t="str">
        <f t="shared" si="123"/>
        <v/>
      </c>
      <c r="I184" s="69" t="str">
        <f t="shared" si="124"/>
        <v/>
      </c>
      <c r="J184" s="31"/>
      <c r="K184" s="78" t="str">
        <f t="shared" si="125"/>
        <v/>
      </c>
      <c r="L184" s="69" t="str">
        <f t="shared" si="126"/>
        <v/>
      </c>
      <c r="M184" s="31"/>
      <c r="N184" s="78" t="str">
        <f t="shared" si="127"/>
        <v/>
      </c>
      <c r="O184" s="69" t="str">
        <f t="shared" si="128"/>
        <v/>
      </c>
      <c r="P184" s="31"/>
      <c r="Q184" s="78" t="str">
        <f t="shared" si="129"/>
        <v/>
      </c>
      <c r="R184" s="69" t="str">
        <f t="shared" si="130"/>
        <v/>
      </c>
      <c r="S184" s="31"/>
      <c r="T184" s="78" t="str">
        <f t="shared" si="131"/>
        <v/>
      </c>
      <c r="U184" s="69" t="str">
        <f t="shared" si="132"/>
        <v/>
      </c>
      <c r="V184" s="31"/>
      <c r="W184" s="78" t="str">
        <f t="shared" si="133"/>
        <v/>
      </c>
      <c r="X184" s="69" t="str">
        <f t="shared" si="134"/>
        <v/>
      </c>
      <c r="Y184" s="31"/>
      <c r="Z184" s="78" t="str">
        <f t="shared" si="135"/>
        <v/>
      </c>
      <c r="AA184" s="69" t="str">
        <f t="shared" si="136"/>
        <v/>
      </c>
      <c r="AB184" s="31"/>
      <c r="AC184" s="78" t="str">
        <f t="shared" si="137"/>
        <v/>
      </c>
      <c r="AD184" s="69" t="str">
        <f t="shared" si="138"/>
        <v/>
      </c>
      <c r="AE184" s="31"/>
      <c r="AF184" s="78" t="str">
        <f t="shared" si="139"/>
        <v/>
      </c>
      <c r="AG184" s="69" t="str">
        <f t="shared" si="140"/>
        <v/>
      </c>
      <c r="AH184" s="31"/>
      <c r="AI184" s="78" t="str">
        <f t="shared" si="141"/>
        <v/>
      </c>
      <c r="AJ184" s="69" t="str">
        <f t="shared" si="142"/>
        <v/>
      </c>
      <c r="AK184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4" s="78" t="str">
        <f t="shared" si="143"/>
        <v/>
      </c>
      <c r="AM184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5" spans="1:39" outlineLevel="1" x14ac:dyDescent="0.25">
      <c r="A185" s="30"/>
      <c r="B185" s="31"/>
      <c r="C185" s="78" t="str">
        <f t="shared" si="120"/>
        <v/>
      </c>
      <c r="D185" s="31"/>
      <c r="E185" s="78" t="str">
        <f t="shared" si="121"/>
        <v/>
      </c>
      <c r="F185" s="69" t="str">
        <f t="shared" si="122"/>
        <v/>
      </c>
      <c r="G185" s="31"/>
      <c r="H185" s="78" t="str">
        <f t="shared" si="123"/>
        <v/>
      </c>
      <c r="I185" s="69" t="str">
        <f t="shared" si="124"/>
        <v/>
      </c>
      <c r="J185" s="31"/>
      <c r="K185" s="78" t="str">
        <f t="shared" si="125"/>
        <v/>
      </c>
      <c r="L185" s="69" t="str">
        <f t="shared" si="126"/>
        <v/>
      </c>
      <c r="M185" s="31"/>
      <c r="N185" s="78" t="str">
        <f t="shared" si="127"/>
        <v/>
      </c>
      <c r="O185" s="69" t="str">
        <f t="shared" si="128"/>
        <v/>
      </c>
      <c r="P185" s="31"/>
      <c r="Q185" s="78" t="str">
        <f t="shared" si="129"/>
        <v/>
      </c>
      <c r="R185" s="69" t="str">
        <f t="shared" si="130"/>
        <v/>
      </c>
      <c r="S185" s="31"/>
      <c r="T185" s="78" t="str">
        <f t="shared" si="131"/>
        <v/>
      </c>
      <c r="U185" s="69" t="str">
        <f t="shared" si="132"/>
        <v/>
      </c>
      <c r="V185" s="31"/>
      <c r="W185" s="78" t="str">
        <f t="shared" si="133"/>
        <v/>
      </c>
      <c r="X185" s="69" t="str">
        <f t="shared" si="134"/>
        <v/>
      </c>
      <c r="Y185" s="31"/>
      <c r="Z185" s="78" t="str">
        <f t="shared" si="135"/>
        <v/>
      </c>
      <c r="AA185" s="69" t="str">
        <f t="shared" si="136"/>
        <v/>
      </c>
      <c r="AB185" s="31"/>
      <c r="AC185" s="78" t="str">
        <f t="shared" si="137"/>
        <v/>
      </c>
      <c r="AD185" s="69" t="str">
        <f t="shared" si="138"/>
        <v/>
      </c>
      <c r="AE185" s="31"/>
      <c r="AF185" s="78" t="str">
        <f t="shared" si="139"/>
        <v/>
      </c>
      <c r="AG185" s="69" t="str">
        <f t="shared" si="140"/>
        <v/>
      </c>
      <c r="AH185" s="31"/>
      <c r="AI185" s="78" t="str">
        <f t="shared" si="141"/>
        <v/>
      </c>
      <c r="AJ185" s="69" t="str">
        <f t="shared" si="142"/>
        <v/>
      </c>
      <c r="AK185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5" s="78" t="str">
        <f t="shared" si="143"/>
        <v/>
      </c>
      <c r="AM185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6" spans="1:39" outlineLevel="1" x14ac:dyDescent="0.25">
      <c r="A186" s="28" t="s">
        <v>302</v>
      </c>
      <c r="B186" s="29">
        <f>SUM(B187:B189)</f>
        <v>0</v>
      </c>
      <c r="C186" s="77" t="str">
        <f t="shared" si="120"/>
        <v/>
      </c>
      <c r="D186" s="29">
        <f>SUM(D187:D189)</f>
        <v>0</v>
      </c>
      <c r="E186" s="77" t="str">
        <f t="shared" si="121"/>
        <v/>
      </c>
      <c r="F186" s="69" t="str">
        <f t="shared" si="122"/>
        <v/>
      </c>
      <c r="G186" s="29">
        <f>SUM(G187:G189)</f>
        <v>0</v>
      </c>
      <c r="H186" s="77" t="str">
        <f t="shared" si="123"/>
        <v/>
      </c>
      <c r="I186" s="69" t="str">
        <f t="shared" si="124"/>
        <v/>
      </c>
      <c r="J186" s="29">
        <f>SUM(J187:J189)</f>
        <v>0</v>
      </c>
      <c r="K186" s="77" t="str">
        <f t="shared" si="125"/>
        <v/>
      </c>
      <c r="L186" s="69" t="str">
        <f t="shared" si="126"/>
        <v/>
      </c>
      <c r="M186" s="29">
        <f>SUM(M187:M189)</f>
        <v>0</v>
      </c>
      <c r="N186" s="77" t="str">
        <f t="shared" si="127"/>
        <v/>
      </c>
      <c r="O186" s="69" t="str">
        <f t="shared" si="128"/>
        <v/>
      </c>
      <c r="P186" s="29">
        <f>SUM(P187:P189)</f>
        <v>0</v>
      </c>
      <c r="Q186" s="77" t="str">
        <f t="shared" si="129"/>
        <v/>
      </c>
      <c r="R186" s="69" t="str">
        <f t="shared" si="130"/>
        <v/>
      </c>
      <c r="S186" s="29">
        <f>SUM(S187:S189)</f>
        <v>0</v>
      </c>
      <c r="T186" s="77" t="str">
        <f t="shared" si="131"/>
        <v/>
      </c>
      <c r="U186" s="69" t="str">
        <f t="shared" si="132"/>
        <v/>
      </c>
      <c r="V186" s="29">
        <f>SUM(V187:V189)</f>
        <v>0</v>
      </c>
      <c r="W186" s="77" t="str">
        <f t="shared" si="133"/>
        <v/>
      </c>
      <c r="X186" s="69" t="str">
        <f t="shared" si="134"/>
        <v/>
      </c>
      <c r="Y186" s="29">
        <f>SUM(Y187:Y189)</f>
        <v>0</v>
      </c>
      <c r="Z186" s="77" t="str">
        <f t="shared" si="135"/>
        <v/>
      </c>
      <c r="AA186" s="69" t="str">
        <f t="shared" si="136"/>
        <v/>
      </c>
      <c r="AB186" s="29">
        <f>SUM(AB187:AB189)</f>
        <v>0</v>
      </c>
      <c r="AC186" s="77" t="str">
        <f t="shared" si="137"/>
        <v/>
      </c>
      <c r="AD186" s="69" t="str">
        <f t="shared" si="138"/>
        <v/>
      </c>
      <c r="AE186" s="29">
        <f>SUM(AE187:AE189)</f>
        <v>0</v>
      </c>
      <c r="AF186" s="77" t="str">
        <f t="shared" si="139"/>
        <v/>
      </c>
      <c r="AG186" s="69" t="str">
        <f t="shared" si="140"/>
        <v/>
      </c>
      <c r="AH186" s="29">
        <f>SUM(AH187:AH189)</f>
        <v>0</v>
      </c>
      <c r="AI186" s="77" t="str">
        <f t="shared" si="141"/>
        <v/>
      </c>
      <c r="AJ186" s="69" t="str">
        <f t="shared" si="142"/>
        <v/>
      </c>
      <c r="AK186" s="34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6" s="77" t="str">
        <f t="shared" si="143"/>
        <v/>
      </c>
      <c r="AM186" s="34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  <row r="187" spans="1:39" outlineLevel="1" x14ac:dyDescent="0.25">
      <c r="A187" s="30" t="s">
        <v>303</v>
      </c>
      <c r="B187" s="31"/>
      <c r="C187" s="78" t="str">
        <f t="shared" si="120"/>
        <v/>
      </c>
      <c r="D187" s="31"/>
      <c r="E187" s="78" t="str">
        <f t="shared" si="121"/>
        <v/>
      </c>
      <c r="F187" s="69" t="str">
        <f t="shared" si="122"/>
        <v/>
      </c>
      <c r="G187" s="31"/>
      <c r="H187" s="78" t="str">
        <f t="shared" si="123"/>
        <v/>
      </c>
      <c r="I187" s="69" t="str">
        <f t="shared" si="124"/>
        <v/>
      </c>
      <c r="J187" s="31"/>
      <c r="K187" s="78" t="str">
        <f t="shared" si="125"/>
        <v/>
      </c>
      <c r="L187" s="69" t="str">
        <f t="shared" si="126"/>
        <v/>
      </c>
      <c r="M187" s="31"/>
      <c r="N187" s="78" t="str">
        <f t="shared" si="127"/>
        <v/>
      </c>
      <c r="O187" s="69" t="str">
        <f t="shared" si="128"/>
        <v/>
      </c>
      <c r="P187" s="31"/>
      <c r="Q187" s="78" t="str">
        <f t="shared" si="129"/>
        <v/>
      </c>
      <c r="R187" s="69" t="str">
        <f t="shared" si="130"/>
        <v/>
      </c>
      <c r="S187" s="31"/>
      <c r="T187" s="78" t="str">
        <f t="shared" si="131"/>
        <v/>
      </c>
      <c r="U187" s="69" t="str">
        <f t="shared" si="132"/>
        <v/>
      </c>
      <c r="V187" s="31"/>
      <c r="W187" s="78" t="str">
        <f t="shared" si="133"/>
        <v/>
      </c>
      <c r="X187" s="69" t="str">
        <f t="shared" si="134"/>
        <v/>
      </c>
      <c r="Y187" s="31"/>
      <c r="Z187" s="78" t="str">
        <f t="shared" si="135"/>
        <v/>
      </c>
      <c r="AA187" s="69" t="str">
        <f t="shared" si="136"/>
        <v/>
      </c>
      <c r="AB187" s="31"/>
      <c r="AC187" s="78" t="str">
        <f t="shared" si="137"/>
        <v/>
      </c>
      <c r="AD187" s="69" t="str">
        <f t="shared" si="138"/>
        <v/>
      </c>
      <c r="AE187" s="31"/>
      <c r="AF187" s="78" t="str">
        <f t="shared" si="139"/>
        <v/>
      </c>
      <c r="AG187" s="69" t="str">
        <f t="shared" si="140"/>
        <v/>
      </c>
      <c r="AH187" s="31"/>
      <c r="AI187" s="78" t="str">
        <f t="shared" si="141"/>
        <v/>
      </c>
      <c r="AJ187" s="69" t="str">
        <f t="shared" si="142"/>
        <v/>
      </c>
      <c r="AK187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7" s="78" t="str">
        <f t="shared" si="143"/>
        <v/>
      </c>
      <c r="AM187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8" spans="1:39" outlineLevel="1" x14ac:dyDescent="0.25">
      <c r="A188" s="30" t="s">
        <v>304</v>
      </c>
      <c r="B188" s="31"/>
      <c r="C188" s="78" t="str">
        <f t="shared" si="120"/>
        <v/>
      </c>
      <c r="D188" s="31"/>
      <c r="E188" s="78" t="str">
        <f t="shared" si="121"/>
        <v/>
      </c>
      <c r="F188" s="69" t="str">
        <f t="shared" si="122"/>
        <v/>
      </c>
      <c r="G188" s="31"/>
      <c r="H188" s="78" t="str">
        <f t="shared" si="123"/>
        <v/>
      </c>
      <c r="I188" s="69" t="str">
        <f t="shared" si="124"/>
        <v/>
      </c>
      <c r="J188" s="31"/>
      <c r="K188" s="78" t="str">
        <f t="shared" si="125"/>
        <v/>
      </c>
      <c r="L188" s="69" t="str">
        <f t="shared" si="126"/>
        <v/>
      </c>
      <c r="M188" s="31"/>
      <c r="N188" s="78" t="str">
        <f t="shared" si="127"/>
        <v/>
      </c>
      <c r="O188" s="69" t="str">
        <f t="shared" si="128"/>
        <v/>
      </c>
      <c r="P188" s="31"/>
      <c r="Q188" s="78" t="str">
        <f t="shared" si="129"/>
        <v/>
      </c>
      <c r="R188" s="69" t="str">
        <f t="shared" si="130"/>
        <v/>
      </c>
      <c r="S188" s="31"/>
      <c r="T188" s="78" t="str">
        <f t="shared" si="131"/>
        <v/>
      </c>
      <c r="U188" s="69" t="str">
        <f t="shared" si="132"/>
        <v/>
      </c>
      <c r="V188" s="31"/>
      <c r="W188" s="78" t="str">
        <f t="shared" si="133"/>
        <v/>
      </c>
      <c r="X188" s="69" t="str">
        <f t="shared" si="134"/>
        <v/>
      </c>
      <c r="Y188" s="31"/>
      <c r="Z188" s="78" t="str">
        <f t="shared" si="135"/>
        <v/>
      </c>
      <c r="AA188" s="69" t="str">
        <f t="shared" si="136"/>
        <v/>
      </c>
      <c r="AB188" s="31"/>
      <c r="AC188" s="78" t="str">
        <f t="shared" si="137"/>
        <v/>
      </c>
      <c r="AD188" s="69" t="str">
        <f t="shared" si="138"/>
        <v/>
      </c>
      <c r="AE188" s="31"/>
      <c r="AF188" s="78" t="str">
        <f t="shared" si="139"/>
        <v/>
      </c>
      <c r="AG188" s="69" t="str">
        <f t="shared" si="140"/>
        <v/>
      </c>
      <c r="AH188" s="31"/>
      <c r="AI188" s="78" t="str">
        <f t="shared" si="141"/>
        <v/>
      </c>
      <c r="AJ188" s="69" t="str">
        <f t="shared" si="142"/>
        <v/>
      </c>
      <c r="AK188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8" s="78" t="str">
        <f t="shared" si="143"/>
        <v/>
      </c>
      <c r="AM188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89" spans="1:39" outlineLevel="1" x14ac:dyDescent="0.25">
      <c r="A189" s="30"/>
      <c r="B189" s="31"/>
      <c r="C189" s="78" t="str">
        <f t="shared" si="120"/>
        <v/>
      </c>
      <c r="D189" s="31"/>
      <c r="E189" s="78" t="str">
        <f t="shared" si="121"/>
        <v/>
      </c>
      <c r="F189" s="69" t="str">
        <f t="shared" si="122"/>
        <v/>
      </c>
      <c r="G189" s="31"/>
      <c r="H189" s="78" t="str">
        <f t="shared" si="123"/>
        <v/>
      </c>
      <c r="I189" s="69" t="str">
        <f t="shared" si="124"/>
        <v/>
      </c>
      <c r="J189" s="31"/>
      <c r="K189" s="78" t="str">
        <f t="shared" si="125"/>
        <v/>
      </c>
      <c r="L189" s="69" t="str">
        <f t="shared" si="126"/>
        <v/>
      </c>
      <c r="M189" s="31"/>
      <c r="N189" s="78" t="str">
        <f t="shared" si="127"/>
        <v/>
      </c>
      <c r="O189" s="69" t="str">
        <f t="shared" si="128"/>
        <v/>
      </c>
      <c r="P189" s="31"/>
      <c r="Q189" s="78" t="str">
        <f t="shared" si="129"/>
        <v/>
      </c>
      <c r="R189" s="69" t="str">
        <f t="shared" si="130"/>
        <v/>
      </c>
      <c r="S189" s="31"/>
      <c r="T189" s="78" t="str">
        <f t="shared" si="131"/>
        <v/>
      </c>
      <c r="U189" s="69" t="str">
        <f t="shared" si="132"/>
        <v/>
      </c>
      <c r="V189" s="31"/>
      <c r="W189" s="78" t="str">
        <f t="shared" si="133"/>
        <v/>
      </c>
      <c r="X189" s="69" t="str">
        <f t="shared" si="134"/>
        <v/>
      </c>
      <c r="Y189" s="31"/>
      <c r="Z189" s="78" t="str">
        <f t="shared" si="135"/>
        <v/>
      </c>
      <c r="AA189" s="69" t="str">
        <f t="shared" si="136"/>
        <v/>
      </c>
      <c r="AB189" s="31"/>
      <c r="AC189" s="78" t="str">
        <f t="shared" si="137"/>
        <v/>
      </c>
      <c r="AD189" s="69" t="str">
        <f t="shared" si="138"/>
        <v/>
      </c>
      <c r="AE189" s="31"/>
      <c r="AF189" s="78" t="str">
        <f t="shared" si="139"/>
        <v/>
      </c>
      <c r="AG189" s="69" t="str">
        <f t="shared" si="140"/>
        <v/>
      </c>
      <c r="AH189" s="31"/>
      <c r="AI189" s="78" t="str">
        <f t="shared" si="141"/>
        <v/>
      </c>
      <c r="AJ189" s="69" t="str">
        <f t="shared" si="142"/>
        <v/>
      </c>
      <c r="AK189" s="35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89" s="78" t="str">
        <f t="shared" si="143"/>
        <v/>
      </c>
      <c r="AM189" s="35" t="e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#DIV/0!</v>
      </c>
    </row>
    <row r="190" spans="1:39" x14ac:dyDescent="0.25">
      <c r="A190" s="26" t="s">
        <v>305</v>
      </c>
      <c r="B190" s="27">
        <f>B168+B169</f>
        <v>0</v>
      </c>
      <c r="C190" s="76" t="str">
        <f t="shared" si="120"/>
        <v/>
      </c>
      <c r="D190" s="27">
        <f>D168+D169</f>
        <v>0</v>
      </c>
      <c r="E190" s="76" t="str">
        <f t="shared" si="121"/>
        <v/>
      </c>
      <c r="F190" s="69" t="str">
        <f t="shared" si="122"/>
        <v/>
      </c>
      <c r="G190" s="27">
        <f>G168+G169</f>
        <v>0</v>
      </c>
      <c r="H190" s="76" t="str">
        <f t="shared" si="123"/>
        <v/>
      </c>
      <c r="I190" s="69" t="str">
        <f t="shared" si="124"/>
        <v/>
      </c>
      <c r="J190" s="27">
        <f>J168+J169</f>
        <v>0</v>
      </c>
      <c r="K190" s="76" t="str">
        <f t="shared" si="125"/>
        <v/>
      </c>
      <c r="L190" s="69" t="str">
        <f t="shared" si="126"/>
        <v/>
      </c>
      <c r="M190" s="27">
        <f>M168+M169</f>
        <v>0</v>
      </c>
      <c r="N190" s="76" t="str">
        <f t="shared" si="127"/>
        <v/>
      </c>
      <c r="O190" s="69" t="str">
        <f t="shared" si="128"/>
        <v/>
      </c>
      <c r="P190" s="27">
        <f>P168+P169</f>
        <v>0</v>
      </c>
      <c r="Q190" s="76" t="str">
        <f t="shared" si="129"/>
        <v/>
      </c>
      <c r="R190" s="69" t="str">
        <f t="shared" si="130"/>
        <v/>
      </c>
      <c r="S190" s="27">
        <f>S168+S169</f>
        <v>0</v>
      </c>
      <c r="T190" s="76" t="str">
        <f t="shared" si="131"/>
        <v/>
      </c>
      <c r="U190" s="69" t="str">
        <f t="shared" si="132"/>
        <v/>
      </c>
      <c r="V190" s="27">
        <f>V168+V169</f>
        <v>0</v>
      </c>
      <c r="W190" s="76" t="str">
        <f t="shared" si="133"/>
        <v/>
      </c>
      <c r="X190" s="69" t="str">
        <f t="shared" si="134"/>
        <v/>
      </c>
      <c r="Y190" s="27">
        <f>Y168+Y169</f>
        <v>0</v>
      </c>
      <c r="Z190" s="76" t="str">
        <f t="shared" si="135"/>
        <v/>
      </c>
      <c r="AA190" s="69" t="str">
        <f t="shared" si="136"/>
        <v/>
      </c>
      <c r="AB190" s="27">
        <f>AB168+AB169</f>
        <v>0</v>
      </c>
      <c r="AC190" s="76" t="str">
        <f t="shared" si="137"/>
        <v/>
      </c>
      <c r="AD190" s="69" t="str">
        <f t="shared" si="138"/>
        <v/>
      </c>
      <c r="AE190" s="27">
        <f>AE168+AE169</f>
        <v>0</v>
      </c>
      <c r="AF190" s="76" t="str">
        <f t="shared" si="139"/>
        <v/>
      </c>
      <c r="AG190" s="69" t="str">
        <f t="shared" si="140"/>
        <v/>
      </c>
      <c r="AH190" s="27">
        <f>AH168+AH169</f>
        <v>0</v>
      </c>
      <c r="AI190" s="76" t="str">
        <f t="shared" si="141"/>
        <v/>
      </c>
      <c r="AJ190" s="69" t="str">
        <f t="shared" si="142"/>
        <v/>
      </c>
      <c r="AK190" s="33">
        <f>SUM(Tabela373[[#This Row],[JANEIRO]]+Tabela373[[#This Row],[FEVEREIRO]]+Tabela373[[#This Row],[MARÇO]]+Tabela373[[#This Row],[ABRIL]]+Tabela373[[#This Row],[MAIO]]+Tabela373[[#This Row],[JUNHO]]+Tabela373[[#This Row],[JULHO]]+Tabela373[[#This Row],[AGOSTO]]+Tabela373[[#This Row],[SETEMBRO]]+Tabela373[[#This Row],[NOVEMBRO]]+Tabela373[[#This Row],[DEZEMBRO]])</f>
        <v>0</v>
      </c>
      <c r="AL190" s="76" t="str">
        <f t="shared" si="143"/>
        <v/>
      </c>
      <c r="AM190" s="33">
        <f>AVERAGE(Tabela373[[#This Row],[JANEIRO]],Tabela373[[#This Row],[FEVEREIRO]],Tabela373[[#This Row],[MARÇO]],Tabela373[[#This Row],[ABRIL]],Tabela373[[#This Row],[MAIO]],Tabela373[[#This Row],[JUNHO]],Tabela373[[#This Row],[JULHO]],Tabela373[[#This Row],[AGOSTO]],Tabela373[[#This Row],[SETEMBRO]],Tabela373[[#This Row],[OUTUBRO]],Tabela373[[#This Row],[NOVEMBRO]],Tabela373[[#This Row],[DEZEMBRO]])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7"/>
  <sheetViews>
    <sheetView showGridLines="0" workbookViewId="0">
      <pane xSplit="1" ySplit="3" topLeftCell="B6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9.140625" defaultRowHeight="15" x14ac:dyDescent="0.25"/>
  <cols>
    <col min="1" max="1" width="33.140625" style="4" customWidth="1"/>
    <col min="2" max="4" width="16.85546875" style="8" customWidth="1"/>
    <col min="5" max="5" width="23" style="4" customWidth="1"/>
    <col min="6" max="6" width="9.140625" style="4" customWidth="1"/>
    <col min="7" max="16384" width="9.140625" style="4"/>
  </cols>
  <sheetData>
    <row r="1" spans="1:4" ht="33" customHeight="1" x14ac:dyDescent="0.25">
      <c r="A1" s="2" t="s">
        <v>306</v>
      </c>
    </row>
    <row r="2" spans="1:4" ht="18.75" customHeight="1" x14ac:dyDescent="0.25">
      <c r="A2" s="9"/>
      <c r="B2" s="16">
        <v>2024</v>
      </c>
      <c r="C2" s="16">
        <v>2025</v>
      </c>
      <c r="D2" s="16">
        <v>2026</v>
      </c>
    </row>
    <row r="3" spans="1:4" ht="18.75" customHeight="1" x14ac:dyDescent="0.25">
      <c r="A3" s="17" t="s">
        <v>307</v>
      </c>
      <c r="B3" s="18"/>
      <c r="C3" s="18"/>
      <c r="D3" s="19"/>
    </row>
    <row r="4" spans="1:4" ht="15.75" customHeight="1" x14ac:dyDescent="0.25">
      <c r="A4" s="6" t="s">
        <v>308</v>
      </c>
      <c r="B4" s="7">
        <f>SUM(B5:B6)</f>
        <v>0</v>
      </c>
      <c r="C4" s="7">
        <f>SUM(C5:C6)</f>
        <v>0</v>
      </c>
      <c r="D4" s="7">
        <f>SUM(D5:D6)</f>
        <v>0</v>
      </c>
    </row>
    <row r="5" spans="1:4" x14ac:dyDescent="0.25">
      <c r="A5" s="12" t="s">
        <v>309</v>
      </c>
      <c r="B5" s="11"/>
      <c r="C5" s="11"/>
      <c r="D5" s="11"/>
    </row>
    <row r="6" spans="1:4" x14ac:dyDescent="0.25">
      <c r="A6" s="12" t="s">
        <v>310</v>
      </c>
      <c r="B6" s="11"/>
      <c r="C6" s="11"/>
      <c r="D6" s="11"/>
    </row>
    <row r="7" spans="1:4" x14ac:dyDescent="0.25">
      <c r="A7" s="12"/>
      <c r="B7" s="11"/>
      <c r="C7" s="11"/>
      <c r="D7" s="11"/>
    </row>
    <row r="8" spans="1:4" ht="15.75" customHeight="1" x14ac:dyDescent="0.25">
      <c r="A8" s="6" t="s">
        <v>311</v>
      </c>
      <c r="B8" s="7">
        <f>SUM(B9,B12,B15,B24)</f>
        <v>0</v>
      </c>
      <c r="C8" s="7">
        <f>SUM(C9,C12,C15,C24)</f>
        <v>0</v>
      </c>
      <c r="D8" s="7">
        <f>SUM(D9,D12,D15,D24)</f>
        <v>0</v>
      </c>
    </row>
    <row r="9" spans="1:4" x14ac:dyDescent="0.25">
      <c r="A9" s="13" t="s">
        <v>312</v>
      </c>
      <c r="B9" s="14">
        <f>SUM(B10)</f>
        <v>0</v>
      </c>
      <c r="C9" s="14">
        <f>SUM(C10)</f>
        <v>0</v>
      </c>
      <c r="D9" s="14">
        <f>SUM(D10)</f>
        <v>0</v>
      </c>
    </row>
    <row r="10" spans="1:4" x14ac:dyDescent="0.25">
      <c r="A10" s="12" t="s">
        <v>313</v>
      </c>
      <c r="B10" s="11"/>
      <c r="C10" s="11"/>
      <c r="D10" s="11"/>
    </row>
    <row r="11" spans="1:4" x14ac:dyDescent="0.25">
      <c r="A11" s="12"/>
      <c r="B11" s="11"/>
      <c r="C11" s="11"/>
      <c r="D11" s="11"/>
    </row>
    <row r="12" spans="1:4" x14ac:dyDescent="0.25">
      <c r="A12" s="13" t="s">
        <v>314</v>
      </c>
      <c r="B12" s="14">
        <f>SUM(B13)</f>
        <v>0</v>
      </c>
      <c r="C12" s="14">
        <f>SUM(C13)</f>
        <v>0</v>
      </c>
      <c r="D12" s="14">
        <f>SUM(D13)</f>
        <v>0</v>
      </c>
    </row>
    <row r="13" spans="1:4" x14ac:dyDescent="0.25">
      <c r="A13" s="12" t="s">
        <v>315</v>
      </c>
      <c r="B13" s="11"/>
      <c r="C13" s="11"/>
      <c r="D13" s="11"/>
    </row>
    <row r="14" spans="1:4" x14ac:dyDescent="0.25">
      <c r="A14" s="12"/>
      <c r="B14" s="11"/>
      <c r="C14" s="11"/>
      <c r="D14" s="11"/>
    </row>
    <row r="15" spans="1:4" x14ac:dyDescent="0.25">
      <c r="A15" s="13" t="s">
        <v>316</v>
      </c>
      <c r="B15" s="14">
        <f>SUM(B16:B22)</f>
        <v>0</v>
      </c>
      <c r="C15" s="14">
        <f>SUM(C16:C22)</f>
        <v>0</v>
      </c>
      <c r="D15" s="14">
        <f>SUM(D16:D22)</f>
        <v>0</v>
      </c>
    </row>
    <row r="16" spans="1:4" x14ac:dyDescent="0.25">
      <c r="A16" s="12" t="s">
        <v>317</v>
      </c>
      <c r="B16" s="11"/>
      <c r="C16" s="11"/>
      <c r="D16" s="11"/>
    </row>
    <row r="17" spans="1:5" x14ac:dyDescent="0.25">
      <c r="A17" s="12" t="s">
        <v>318</v>
      </c>
      <c r="B17" s="11"/>
      <c r="C17" s="11"/>
      <c r="D17" s="11"/>
    </row>
    <row r="18" spans="1:5" x14ac:dyDescent="0.25">
      <c r="A18" s="12" t="s">
        <v>319</v>
      </c>
      <c r="B18" s="11"/>
      <c r="C18" s="11"/>
      <c r="D18" s="11"/>
    </row>
    <row r="19" spans="1:5" x14ac:dyDescent="0.25">
      <c r="A19" s="12" t="s">
        <v>320</v>
      </c>
      <c r="B19" s="11"/>
      <c r="C19" s="11"/>
      <c r="D19" s="11"/>
    </row>
    <row r="20" spans="1:5" x14ac:dyDescent="0.25">
      <c r="A20" s="12" t="s">
        <v>321</v>
      </c>
      <c r="B20" s="11"/>
      <c r="C20" s="11"/>
      <c r="D20" s="11"/>
    </row>
    <row r="21" spans="1:5" x14ac:dyDescent="0.25">
      <c r="A21" s="12" t="s">
        <v>322</v>
      </c>
      <c r="B21" s="11"/>
      <c r="C21" s="11"/>
      <c r="D21" s="11"/>
    </row>
    <row r="22" spans="1:5" x14ac:dyDescent="0.25">
      <c r="A22" s="12" t="s">
        <v>323</v>
      </c>
      <c r="B22" s="11"/>
      <c r="C22" s="11"/>
      <c r="D22" s="11"/>
    </row>
    <row r="23" spans="1:5" x14ac:dyDescent="0.25">
      <c r="A23" s="12"/>
      <c r="B23" s="11"/>
      <c r="C23" s="11"/>
      <c r="D23" s="11"/>
    </row>
    <row r="24" spans="1:5" x14ac:dyDescent="0.25">
      <c r="A24" s="13" t="s">
        <v>324</v>
      </c>
      <c r="B24" s="14">
        <f>SUM(B25:B26)</f>
        <v>0</v>
      </c>
      <c r="C24" s="14">
        <f>SUM(C25:C26)</f>
        <v>0</v>
      </c>
      <c r="D24" s="14">
        <f>SUM(D25:D26)</f>
        <v>0</v>
      </c>
    </row>
    <row r="25" spans="1:5" x14ac:dyDescent="0.25">
      <c r="A25" s="12" t="s">
        <v>325</v>
      </c>
      <c r="B25" s="11"/>
      <c r="C25" s="11"/>
      <c r="D25" s="11"/>
    </row>
    <row r="26" spans="1:5" x14ac:dyDescent="0.25">
      <c r="A26" s="12" t="s">
        <v>326</v>
      </c>
      <c r="B26" s="11"/>
      <c r="C26" s="11"/>
      <c r="D26" s="11"/>
    </row>
    <row r="27" spans="1:5" x14ac:dyDescent="0.25">
      <c r="A27" s="12"/>
      <c r="B27" s="11"/>
      <c r="C27" s="11"/>
      <c r="D27" s="11"/>
    </row>
    <row r="28" spans="1:5" ht="15.75" customHeight="1" x14ac:dyDescent="0.25">
      <c r="A28" s="22" t="s">
        <v>327</v>
      </c>
      <c r="B28" s="23">
        <f>B4+B8</f>
        <v>0</v>
      </c>
      <c r="C28" s="23">
        <f>C4+C8</f>
        <v>0</v>
      </c>
      <c r="D28" s="23">
        <f>D4+D8</f>
        <v>0</v>
      </c>
    </row>
    <row r="29" spans="1:5" x14ac:dyDescent="0.25">
      <c r="A29" s="10"/>
      <c r="B29" s="15"/>
      <c r="C29" s="15"/>
      <c r="D29" s="15"/>
    </row>
    <row r="30" spans="1:5" ht="18.75" customHeight="1" x14ac:dyDescent="0.25">
      <c r="A30" s="21" t="s">
        <v>328</v>
      </c>
      <c r="B30" s="20"/>
      <c r="C30" s="20"/>
      <c r="D30" s="20"/>
    </row>
    <row r="31" spans="1:5" ht="5.25" customHeight="1" x14ac:dyDescent="0.25">
      <c r="A31" s="10"/>
      <c r="B31" s="11"/>
      <c r="C31" s="11"/>
      <c r="D31" s="11"/>
    </row>
    <row r="32" spans="1:5" ht="15.75" customHeight="1" x14ac:dyDescent="0.25">
      <c r="A32" s="6" t="s">
        <v>329</v>
      </c>
      <c r="B32" s="7">
        <f>SUM(B33:B37)</f>
        <v>0</v>
      </c>
      <c r="C32" s="7">
        <f>SUM(C33:C37)</f>
        <v>0</v>
      </c>
      <c r="D32" s="7">
        <f>SUM(D33:D37)</f>
        <v>0</v>
      </c>
      <c r="E32" s="5"/>
    </row>
    <row r="33" spans="1:4" x14ac:dyDescent="0.25">
      <c r="A33" s="12" t="s">
        <v>330</v>
      </c>
      <c r="B33" s="11"/>
      <c r="C33" s="11"/>
      <c r="D33" s="11"/>
    </row>
    <row r="34" spans="1:4" x14ac:dyDescent="0.25">
      <c r="A34" s="12" t="s">
        <v>331</v>
      </c>
      <c r="B34" s="11"/>
      <c r="C34" s="11"/>
      <c r="D34" s="11"/>
    </row>
    <row r="35" spans="1:4" x14ac:dyDescent="0.25">
      <c r="A35" s="12" t="s">
        <v>332</v>
      </c>
      <c r="B35" s="11"/>
      <c r="C35" s="11"/>
      <c r="D35" s="11"/>
    </row>
    <row r="36" spans="1:4" x14ac:dyDescent="0.25">
      <c r="A36" s="12" t="s">
        <v>333</v>
      </c>
      <c r="B36" s="11"/>
      <c r="C36" s="11"/>
      <c r="D36" s="11"/>
    </row>
    <row r="37" spans="1:4" x14ac:dyDescent="0.25">
      <c r="A37" s="12" t="s">
        <v>334</v>
      </c>
      <c r="B37" s="11"/>
      <c r="C37" s="11"/>
      <c r="D37" s="11"/>
    </row>
    <row r="38" spans="1:4" x14ac:dyDescent="0.25">
      <c r="A38" s="12"/>
      <c r="B38" s="11"/>
      <c r="C38" s="11"/>
      <c r="D38" s="11"/>
    </row>
    <row r="39" spans="1:4" ht="15.75" customHeight="1" x14ac:dyDescent="0.25">
      <c r="A39" s="6" t="s">
        <v>335</v>
      </c>
      <c r="B39" s="7">
        <f>SUM(B40:B41)</f>
        <v>0</v>
      </c>
      <c r="C39" s="7">
        <f>SUM(C40:C41)</f>
        <v>0</v>
      </c>
      <c r="D39" s="7">
        <f>SUM(D40:D41)</f>
        <v>0</v>
      </c>
    </row>
    <row r="40" spans="1:4" x14ac:dyDescent="0.25">
      <c r="A40" s="12" t="s">
        <v>336</v>
      </c>
      <c r="B40" s="11"/>
      <c r="C40" s="11"/>
      <c r="D40" s="11"/>
    </row>
    <row r="41" spans="1:4" x14ac:dyDescent="0.25">
      <c r="A41" s="12" t="s">
        <v>337</v>
      </c>
      <c r="B41" s="11"/>
      <c r="C41" s="11"/>
      <c r="D41" s="11"/>
    </row>
    <row r="42" spans="1:4" x14ac:dyDescent="0.25">
      <c r="A42" s="10"/>
      <c r="B42" s="11"/>
      <c r="C42" s="11"/>
      <c r="D42" s="11"/>
    </row>
    <row r="43" spans="1:4" ht="15.75" customHeight="1" x14ac:dyDescent="0.25">
      <c r="A43" s="6" t="s">
        <v>338</v>
      </c>
      <c r="B43" s="7">
        <f>SUM(B44:B45)</f>
        <v>0</v>
      </c>
      <c r="C43" s="7">
        <f>SUM(C44:C45)</f>
        <v>0</v>
      </c>
      <c r="D43" s="7">
        <f>SUM(D44:D45)</f>
        <v>0</v>
      </c>
    </row>
    <row r="44" spans="1:4" x14ac:dyDescent="0.25">
      <c r="A44" s="12" t="s">
        <v>339</v>
      </c>
      <c r="B44" s="11"/>
      <c r="C44" s="11"/>
      <c r="D44" s="11"/>
    </row>
    <row r="45" spans="1:4" x14ac:dyDescent="0.25">
      <c r="A45" s="12" t="s">
        <v>340</v>
      </c>
      <c r="B45" s="11"/>
      <c r="C45" s="11"/>
      <c r="D45" s="11"/>
    </row>
    <row r="46" spans="1:4" x14ac:dyDescent="0.25">
      <c r="A46" s="12"/>
      <c r="B46" s="11"/>
      <c r="C46" s="11"/>
      <c r="D46" s="11"/>
    </row>
    <row r="47" spans="1:4" ht="15.75" customHeight="1" x14ac:dyDescent="0.25">
      <c r="A47" s="22" t="s">
        <v>341</v>
      </c>
      <c r="B47" s="23">
        <f>B32+B39+B43</f>
        <v>0</v>
      </c>
      <c r="C47" s="23">
        <f>C32+C39+C43</f>
        <v>0</v>
      </c>
      <c r="D47" s="23">
        <f>D32+D39+D43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7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4" customWidth="1"/>
    <col min="2" max="4" width="13" customWidth="1"/>
    <col min="5" max="5" width="22" customWidth="1"/>
    <col min="6" max="6" width="42" customWidth="1"/>
    <col min="7" max="15" width="13" customWidth="1"/>
  </cols>
  <sheetData>
    <row r="1" spans="1:15" ht="24" customHeight="1" x14ac:dyDescent="0.25">
      <c r="A1" s="108" t="s">
        <v>342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</row>
    <row r="2" spans="1:15" ht="20.100000000000001" customHeight="1" x14ac:dyDescent="0.25">
      <c r="A2" s="107" t="s">
        <v>343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</row>
    <row r="4" spans="1:15" ht="9.9499999999999993" customHeight="1" x14ac:dyDescent="0.25"/>
    <row r="5" spans="1:15" x14ac:dyDescent="0.25">
      <c r="A5" s="104" t="s">
        <v>344</v>
      </c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</row>
    <row r="6" spans="1:15" x14ac:dyDescent="0.25">
      <c r="A6" s="79" t="s">
        <v>345</v>
      </c>
      <c r="B6" s="79" t="s">
        <v>346</v>
      </c>
      <c r="C6" s="79" t="s">
        <v>347</v>
      </c>
      <c r="D6" s="79" t="s">
        <v>348</v>
      </c>
      <c r="E6" s="79" t="s">
        <v>349</v>
      </c>
      <c r="F6" s="79" t="s">
        <v>350</v>
      </c>
      <c r="G6" s="79" t="s">
        <v>351</v>
      </c>
      <c r="H6" s="79" t="s">
        <v>352</v>
      </c>
      <c r="I6" s="79" t="s">
        <v>353</v>
      </c>
      <c r="J6" s="79" t="s">
        <v>354</v>
      </c>
      <c r="K6" s="79" t="s">
        <v>355</v>
      </c>
      <c r="L6" s="79" t="s">
        <v>356</v>
      </c>
      <c r="M6" s="79" t="s">
        <v>357</v>
      </c>
      <c r="N6" s="79" t="s">
        <v>358</v>
      </c>
      <c r="O6" s="79" t="s">
        <v>359</v>
      </c>
    </row>
    <row r="7" spans="1:15" x14ac:dyDescent="0.25">
      <c r="A7" s="80" t="s">
        <v>360</v>
      </c>
      <c r="B7" s="81">
        <f>IFERROR(DRE!B$43,"")</f>
        <v>0</v>
      </c>
      <c r="C7" s="81">
        <f>IFERROR(DRE!D$43,"")</f>
        <v>0</v>
      </c>
      <c r="D7" s="81">
        <f>IFERROR(DRE!G$43,"")</f>
        <v>0</v>
      </c>
      <c r="E7" s="81">
        <f>IFERROR(DRE!J$43,"")</f>
        <v>0</v>
      </c>
      <c r="F7" s="81">
        <f>IFERROR(DRE!M$43,"")</f>
        <v>0</v>
      </c>
      <c r="G7" s="81">
        <f>IFERROR(DRE!P$43,"")</f>
        <v>0</v>
      </c>
      <c r="H7" s="81">
        <f>IFERROR(DRE!S$43,"")</f>
        <v>0</v>
      </c>
      <c r="I7" s="81">
        <f>IFERROR(DRE!V$43,"")</f>
        <v>0</v>
      </c>
      <c r="J7" s="81">
        <f>IFERROR(DRE!Y$43,"")</f>
        <v>0</v>
      </c>
      <c r="K7" s="81">
        <f>IFERROR(DRE!AB$43,"")</f>
        <v>0</v>
      </c>
      <c r="L7" s="81">
        <f>IFERROR(DRE!AE$43,"")</f>
        <v>0</v>
      </c>
      <c r="M7" s="81">
        <f>IFERROR(DRE!AH$43,"")</f>
        <v>0</v>
      </c>
      <c r="N7" s="81">
        <f>IFERROR(DRE!$AK$43,"")</f>
        <v>0</v>
      </c>
      <c r="O7" s="81">
        <f t="shared" ref="O7:O14" si="0">IFERROR(AVERAGE(B7:M7),"")</f>
        <v>0</v>
      </c>
    </row>
    <row r="8" spans="1:15" x14ac:dyDescent="0.25">
      <c r="A8" s="82" t="s">
        <v>361</v>
      </c>
      <c r="B8" s="83" t="str">
        <f>IFERROR((DRE!B$43-DRE!B$44)/DRE!B$43,"")</f>
        <v/>
      </c>
      <c r="C8" s="83" t="str">
        <f>IFERROR((DRE!D$43-DRE!D$44)/DRE!D$43,"")</f>
        <v/>
      </c>
      <c r="D8" s="83" t="str">
        <f>IFERROR((DRE!G$43-DRE!G$44)/DRE!G$43,"")</f>
        <v/>
      </c>
      <c r="E8" s="83" t="str">
        <f>IFERROR((DRE!J$43-DRE!J$44)/DRE!J$43,"")</f>
        <v/>
      </c>
      <c r="F8" s="83" t="str">
        <f>IFERROR((DRE!M$43-DRE!M$44)/DRE!M$43,"")</f>
        <v/>
      </c>
      <c r="G8" s="83" t="str">
        <f>IFERROR((DRE!P$43-DRE!P$44)/DRE!P$43,"")</f>
        <v/>
      </c>
      <c r="H8" s="83" t="str">
        <f>IFERROR((DRE!S$43-DRE!S$44)/DRE!S$43,"")</f>
        <v/>
      </c>
      <c r="I8" s="83" t="str">
        <f>IFERROR((DRE!V$43-DRE!V$44)/DRE!V$43,"")</f>
        <v/>
      </c>
      <c r="J8" s="83" t="str">
        <f>IFERROR((DRE!Y$43-DRE!Y$44)/DRE!Y$43,"")</f>
        <v/>
      </c>
      <c r="K8" s="83" t="str">
        <f>IFERROR((DRE!AB$43-DRE!AB$44)/DRE!AB$43,"")</f>
        <v/>
      </c>
      <c r="L8" s="83" t="str">
        <f>IFERROR((DRE!AE$43-DRE!AE$44)/DRE!AE$43,"")</f>
        <v/>
      </c>
      <c r="M8" s="83" t="str">
        <f>IFERROR((DRE!AH$43-DRE!AH$44)/DRE!AH$43,"")</f>
        <v/>
      </c>
      <c r="N8" s="83" t="str">
        <f>IFERROR((DRE!$AK$43-DRE!$AK$44)/DRE!$AK$43,"")</f>
        <v/>
      </c>
      <c r="O8" s="83" t="str">
        <f t="shared" si="0"/>
        <v/>
      </c>
    </row>
    <row r="9" spans="1:15" x14ac:dyDescent="0.25">
      <c r="A9" s="80" t="s">
        <v>362</v>
      </c>
      <c r="B9" s="84" t="str">
        <f>IFERROR(DRE!B$85/DRE!B$43,"")</f>
        <v/>
      </c>
      <c r="C9" s="84" t="str">
        <f>IFERROR(DRE!D$85/DRE!D$43,"")</f>
        <v/>
      </c>
      <c r="D9" s="84" t="str">
        <f>IFERROR(DRE!G$85/DRE!G$43,"")</f>
        <v/>
      </c>
      <c r="E9" s="84" t="str">
        <f>IFERROR(DRE!J$85/DRE!J$43,"")</f>
        <v/>
      </c>
      <c r="F9" s="84" t="str">
        <f>IFERROR(DRE!M$85/DRE!M$43,"")</f>
        <v/>
      </c>
      <c r="G9" s="84" t="str">
        <f>IFERROR(DRE!P$85/DRE!P$43,"")</f>
        <v/>
      </c>
      <c r="H9" s="84" t="str">
        <f>IFERROR(DRE!S$85/DRE!S$43,"")</f>
        <v/>
      </c>
      <c r="I9" s="84" t="str">
        <f>IFERROR(DRE!V$85/DRE!V$43,"")</f>
        <v/>
      </c>
      <c r="J9" s="84" t="str">
        <f>IFERROR(DRE!Y$85/DRE!Y$43,"")</f>
        <v/>
      </c>
      <c r="K9" s="84" t="str">
        <f>IFERROR(DRE!AB$85/DRE!AB$43,"")</f>
        <v/>
      </c>
      <c r="L9" s="84" t="str">
        <f>IFERROR(DRE!AE$85/DRE!AE$43,"")</f>
        <v/>
      </c>
      <c r="M9" s="84" t="str">
        <f>IFERROR(DRE!AH$85/DRE!AH$43,"")</f>
        <v/>
      </c>
      <c r="N9" s="84" t="str">
        <f>IFERROR(DRE!$AK$85/DRE!$AK$43,"")</f>
        <v/>
      </c>
      <c r="O9" s="84" t="str">
        <f t="shared" si="0"/>
        <v/>
      </c>
    </row>
    <row r="10" spans="1:15" x14ac:dyDescent="0.25">
      <c r="A10" s="82" t="s">
        <v>363</v>
      </c>
      <c r="B10" s="83" t="str">
        <f>IFERROR(DRE!B$149/DRE!B$43,"")</f>
        <v/>
      </c>
      <c r="C10" s="83" t="str">
        <f>IFERROR(DRE!D$149/DRE!D$43,"")</f>
        <v/>
      </c>
      <c r="D10" s="83" t="str">
        <f>IFERROR(DRE!G$149/DRE!G$43,"")</f>
        <v/>
      </c>
      <c r="E10" s="83" t="str">
        <f>IFERROR(DRE!J$149/DRE!J$43,"")</f>
        <v/>
      </c>
      <c r="F10" s="83" t="str">
        <f>IFERROR(DRE!M$149/DRE!M$43,"")</f>
        <v/>
      </c>
      <c r="G10" s="83" t="str">
        <f>IFERROR(DRE!P$149/DRE!P$43,"")</f>
        <v/>
      </c>
      <c r="H10" s="83" t="str">
        <f>IFERROR(DRE!S$149/DRE!S$43,"")</f>
        <v/>
      </c>
      <c r="I10" s="83" t="str">
        <f>IFERROR(DRE!V$149/DRE!V$43,"")</f>
        <v/>
      </c>
      <c r="J10" s="83" t="str">
        <f>IFERROR(DRE!Y$149/DRE!Y$43,"")</f>
        <v/>
      </c>
      <c r="K10" s="83" t="str">
        <f>IFERROR(DRE!AB$149/DRE!AB$43,"")</f>
        <v/>
      </c>
      <c r="L10" s="83" t="str">
        <f>IFERROR(DRE!AE$149/DRE!AE$43,"")</f>
        <v/>
      </c>
      <c r="M10" s="83" t="str">
        <f>IFERROR(DRE!AH$149/DRE!AH$43,"")</f>
        <v/>
      </c>
      <c r="N10" s="83" t="str">
        <f>IFERROR(DRE!$AK$149/DRE!$AK$43,"")</f>
        <v/>
      </c>
      <c r="O10" s="83" t="str">
        <f t="shared" si="0"/>
        <v/>
      </c>
    </row>
    <row r="11" spans="1:15" x14ac:dyDescent="0.25">
      <c r="A11" s="80" t="s">
        <v>364</v>
      </c>
      <c r="B11" s="84" t="str">
        <f>IFERROR((DRE!B$149+DRE!B$150-DRE!B$163+DRE!B$169)/DRE!B$43,"")</f>
        <v/>
      </c>
      <c r="C11" s="84" t="str">
        <f>IFERROR((DRE!D$149+DRE!D$150-DRE!D$163+DRE!D$169)/DRE!D$43,"")</f>
        <v/>
      </c>
      <c r="D11" s="84" t="str">
        <f>IFERROR((DRE!G$149+DRE!G$150-DRE!G$163+DRE!G$169)/DRE!G$43,"")</f>
        <v/>
      </c>
      <c r="E11" s="84" t="str">
        <f>IFERROR((DRE!J$149+DRE!J$150-DRE!J$163+DRE!J$169)/DRE!J$43,"")</f>
        <v/>
      </c>
      <c r="F11" s="84" t="str">
        <f>IFERROR((DRE!M$149+DRE!M$150-DRE!M$163+DRE!M$169)/DRE!M$43,"")</f>
        <v/>
      </c>
      <c r="G11" s="84" t="str">
        <f>IFERROR((DRE!P$149+DRE!P$150-DRE!P$163+DRE!P$169)/DRE!P$43,"")</f>
        <v/>
      </c>
      <c r="H11" s="84" t="str">
        <f>IFERROR((DRE!S$149+DRE!S$150-DRE!S$163+DRE!S$169)/DRE!S$43,"")</f>
        <v/>
      </c>
      <c r="I11" s="84" t="str">
        <f>IFERROR((DRE!V$149+DRE!V$150-DRE!V$163+DRE!V$169)/DRE!V$43,"")</f>
        <v/>
      </c>
      <c r="J11" s="84" t="str">
        <f>IFERROR((DRE!Y$149+DRE!Y$150-DRE!Y$163+DRE!Y$169)/DRE!Y$43,"")</f>
        <v/>
      </c>
      <c r="K11" s="84" t="str">
        <f>IFERROR((DRE!AB$149+DRE!AB$150-DRE!AB$163+DRE!AB$169)/DRE!AB$43,"")</f>
        <v/>
      </c>
      <c r="L11" s="84" t="str">
        <f>IFERROR((DRE!AE$149+DRE!AE$150-DRE!AE$163+DRE!AE$169)/DRE!AE$43,"")</f>
        <v/>
      </c>
      <c r="M11" s="84" t="str">
        <f>IFERROR((DRE!AH$149+DRE!AH$150-DRE!AH$163+DRE!AH$169)/DRE!AH$43,"")</f>
        <v/>
      </c>
      <c r="N11" s="84" t="str">
        <f>IFERROR((DRE!$AK$149+DRE!$AK$150-DRE!$AK$163+DRE!$AK$169)/DRE!$AK$43,"")</f>
        <v/>
      </c>
      <c r="O11" s="84" t="str">
        <f t="shared" si="0"/>
        <v/>
      </c>
    </row>
    <row r="12" spans="1:15" x14ac:dyDescent="0.25">
      <c r="A12" s="82" t="s">
        <v>365</v>
      </c>
      <c r="B12" s="85">
        <f>IFERROR(FC!B$133,"")</f>
        <v>0</v>
      </c>
      <c r="C12" s="85">
        <f>IFERROR(FC!C$133,"")</f>
        <v>0</v>
      </c>
      <c r="D12" s="85">
        <f>IFERROR(FC!D$133,"")</f>
        <v>0</v>
      </c>
      <c r="E12" s="85">
        <f>IFERROR(FC!E$133,"")</f>
        <v>0</v>
      </c>
      <c r="F12" s="85">
        <f>IFERROR(FC!F$133,"")</f>
        <v>0</v>
      </c>
      <c r="G12" s="85">
        <f>IFERROR(FC!G$133,"")</f>
        <v>0</v>
      </c>
      <c r="H12" s="85">
        <f>IFERROR(FC!H$133,"")</f>
        <v>0</v>
      </c>
      <c r="I12" s="85">
        <f>IFERROR(FC!I$133,"")</f>
        <v>0</v>
      </c>
      <c r="J12" s="85">
        <f>IFERROR(FC!J$133,"")</f>
        <v>0</v>
      </c>
      <c r="K12" s="85">
        <f>IFERROR(FC!K$133,"")</f>
        <v>0</v>
      </c>
      <c r="L12" s="85">
        <f>IFERROR(FC!L$133,"")</f>
        <v>0</v>
      </c>
      <c r="M12" s="85">
        <f>IFERROR(FC!M$133,"")</f>
        <v>0</v>
      </c>
      <c r="N12" s="85">
        <f>IFERROR(FC!$N$133,"")</f>
        <v>0</v>
      </c>
      <c r="O12" s="85">
        <f t="shared" si="0"/>
        <v>0</v>
      </c>
    </row>
    <row r="13" spans="1:15" x14ac:dyDescent="0.25">
      <c r="A13" s="80" t="s">
        <v>366</v>
      </c>
      <c r="B13" s="86" t="str">
        <f>IFERROR(FC!B$133/(DRE!B$149+DRE!B$150-DRE!B$163+DRE!B$169),"")</f>
        <v/>
      </c>
      <c r="C13" s="86" t="str">
        <f>IFERROR(FC!C$133/(DRE!D$149+DRE!D$150-DRE!D$163+DRE!D$169),"")</f>
        <v/>
      </c>
      <c r="D13" s="86" t="str">
        <f>IFERROR(FC!D$133/(DRE!G$149+DRE!G$150-DRE!G$163+DRE!G$169),"")</f>
        <v/>
      </c>
      <c r="E13" s="86" t="str">
        <f>IFERROR(FC!E$133/(DRE!J$149+DRE!J$150-DRE!J$163+DRE!J$169),"")</f>
        <v/>
      </c>
      <c r="F13" s="86" t="str">
        <f>IFERROR(FC!F$133/(DRE!M$149+DRE!M$150-DRE!M$163+DRE!M$169),"")</f>
        <v/>
      </c>
      <c r="G13" s="86" t="str">
        <f>IFERROR(FC!G$133/(DRE!P$149+DRE!P$150-DRE!P$163+DRE!P$169),"")</f>
        <v/>
      </c>
      <c r="H13" s="86" t="str">
        <f>IFERROR(FC!H$133/(DRE!S$149+DRE!S$150-DRE!S$163+DRE!S$169),"")</f>
        <v/>
      </c>
      <c r="I13" s="86" t="str">
        <f>IFERROR(FC!I$133/(DRE!V$149+DRE!V$150-DRE!V$163+DRE!V$169),"")</f>
        <v/>
      </c>
      <c r="J13" s="86" t="str">
        <f>IFERROR(FC!J$133/(DRE!Y$149+DRE!Y$150-DRE!Y$163+DRE!Y$169),"")</f>
        <v/>
      </c>
      <c r="K13" s="86" t="str">
        <f>IFERROR(FC!K$133/(DRE!AB$149+DRE!AB$150-DRE!AB$163+DRE!AB$169),"")</f>
        <v/>
      </c>
      <c r="L13" s="86" t="str">
        <f>IFERROR(FC!L$133/(DRE!AE$149+DRE!AE$150-DRE!AE$163+DRE!AE$169),"")</f>
        <v/>
      </c>
      <c r="M13" s="86" t="str">
        <f>IFERROR(FC!M$133/(DRE!AH$149+DRE!AH$150-DRE!AH$163+DRE!AH$169),"")</f>
        <v/>
      </c>
      <c r="N13" s="86" t="str">
        <f>IFERROR(FC!$N$133/(DRE!$AK$149+DRE!$AK$150-DRE!$AK$163+DRE!$AK$169),"")</f>
        <v/>
      </c>
      <c r="O13" s="86" t="str">
        <f t="shared" si="0"/>
        <v/>
      </c>
    </row>
    <row r="14" spans="1:15" x14ac:dyDescent="0.25">
      <c r="A14" s="82" t="s">
        <v>367</v>
      </c>
      <c r="B14" s="85">
        <f>IFERROR(FC!B$135,"")</f>
        <v>0</v>
      </c>
      <c r="C14" s="85">
        <f>IFERROR(FC!C$135,"")</f>
        <v>0</v>
      </c>
      <c r="D14" s="85">
        <f>IFERROR(FC!D$135,"")</f>
        <v>0</v>
      </c>
      <c r="E14" s="85">
        <f>IFERROR(FC!E$135,"")</f>
        <v>0</v>
      </c>
      <c r="F14" s="85">
        <f>IFERROR(FC!F$135,"")</f>
        <v>0</v>
      </c>
      <c r="G14" s="85">
        <f>IFERROR(FC!G$135,"")</f>
        <v>0</v>
      </c>
      <c r="H14" s="85">
        <f>IFERROR(FC!H$135,"")</f>
        <v>0</v>
      </c>
      <c r="I14" s="85">
        <f>IFERROR(FC!I$135,"")</f>
        <v>0</v>
      </c>
      <c r="J14" s="85">
        <f>IFERROR(FC!J$135,"")</f>
        <v>0</v>
      </c>
      <c r="K14" s="85">
        <f>IFERROR(FC!K$135,"")</f>
        <v>0</v>
      </c>
      <c r="L14" s="85">
        <f>IFERROR(FC!L$135,"")</f>
        <v>0</v>
      </c>
      <c r="M14" s="85">
        <f>IFERROR(FC!M$135,"")</f>
        <v>0</v>
      </c>
      <c r="N14" s="85">
        <f>IFERROR(FC!$N$135,"")</f>
        <v>0</v>
      </c>
      <c r="O14" s="85">
        <f t="shared" si="0"/>
        <v>0</v>
      </c>
    </row>
    <row r="17" spans="1:15" x14ac:dyDescent="0.25">
      <c r="A17" s="104" t="s">
        <v>368</v>
      </c>
      <c r="B17" s="105"/>
      <c r="C17" s="105"/>
      <c r="D17" s="105"/>
      <c r="E17" s="105"/>
      <c r="F17" s="105"/>
    </row>
    <row r="18" spans="1:15" x14ac:dyDescent="0.25">
      <c r="A18" s="79" t="s">
        <v>345</v>
      </c>
      <c r="B18" s="79" t="s">
        <v>369</v>
      </c>
      <c r="C18" s="79" t="s">
        <v>370</v>
      </c>
      <c r="D18" s="79" t="s">
        <v>371</v>
      </c>
      <c r="E18" s="79" t="s">
        <v>372</v>
      </c>
      <c r="F18" s="79" t="s">
        <v>373</v>
      </c>
      <c r="G18" s="87"/>
      <c r="H18" s="87"/>
      <c r="I18" s="87"/>
      <c r="J18" s="87"/>
      <c r="K18" s="87"/>
      <c r="L18" s="87"/>
      <c r="M18" s="87"/>
      <c r="N18" s="87"/>
      <c r="O18" s="87"/>
    </row>
    <row r="19" spans="1:15" x14ac:dyDescent="0.25">
      <c r="A19" s="82" t="s">
        <v>374</v>
      </c>
      <c r="B19" s="88" t="str">
        <f>IFERROR(BP!B$4/BP!B$32,"")</f>
        <v/>
      </c>
      <c r="C19" s="94" t="str">
        <f>IFERROR(BP!C$4/BP!C$32,"")</f>
        <v/>
      </c>
      <c r="D19" s="94" t="str">
        <f>IFERROR(BP!D$4/BP!D$32,"")</f>
        <v/>
      </c>
      <c r="E19" s="95" t="s">
        <v>375</v>
      </c>
      <c r="F19" s="95" t="s">
        <v>376</v>
      </c>
    </row>
    <row r="20" spans="1:15" ht="25.5" x14ac:dyDescent="0.25">
      <c r="A20" s="80" t="s">
        <v>377</v>
      </c>
      <c r="B20" s="81">
        <f>IFERROR(BP!B$4-BP!B$32,"")</f>
        <v>0</v>
      </c>
      <c r="C20" s="96">
        <f>IFERROR(BP!C$4-BP!C$32,"")</f>
        <v>0</v>
      </c>
      <c r="D20" s="96">
        <f>IFERROR(BP!D$4-BP!D$32,"")</f>
        <v>0</v>
      </c>
      <c r="E20" s="97" t="s">
        <v>378</v>
      </c>
      <c r="F20" s="97" t="s">
        <v>379</v>
      </c>
    </row>
    <row r="21" spans="1:15" ht="25.5" x14ac:dyDescent="0.25">
      <c r="A21" s="82" t="s">
        <v>380</v>
      </c>
      <c r="B21" s="83" t="str">
        <f>IFERROR((BP!B$32+BP!B$39)/BP!B$28,"")</f>
        <v/>
      </c>
      <c r="C21" s="98" t="str">
        <f>IFERROR((BP!C$32+BP!C$39)/BP!C$28,"")</f>
        <v/>
      </c>
      <c r="D21" s="98" t="str">
        <f>IFERROR((BP!D$32+BP!D$39)/BP!D$28,"")</f>
        <v/>
      </c>
      <c r="E21" s="95" t="s">
        <v>381</v>
      </c>
      <c r="F21" s="95" t="s">
        <v>382</v>
      </c>
    </row>
    <row r="22" spans="1:15" x14ac:dyDescent="0.25">
      <c r="A22" s="80" t="s">
        <v>383</v>
      </c>
      <c r="B22" s="84" t="str">
        <f>IFERROR(BP!B$32/(BP!B$32+BP!B$39),"")</f>
        <v/>
      </c>
      <c r="C22" s="99" t="str">
        <f>IFERROR(BP!C$32/(BP!C$32+BP!C$39),"")</f>
        <v/>
      </c>
      <c r="D22" s="99" t="str">
        <f>IFERROR(BP!D$32/(BP!D$32+BP!D$39),"")</f>
        <v/>
      </c>
      <c r="E22" s="97" t="s">
        <v>384</v>
      </c>
      <c r="F22" s="97" t="s">
        <v>385</v>
      </c>
    </row>
    <row r="23" spans="1:15" x14ac:dyDescent="0.25">
      <c r="A23" s="82" t="s">
        <v>386</v>
      </c>
      <c r="B23" s="88" t="str">
        <f>IFERROR((BP!B$32+BP!B$39)/BP!B$43,"")</f>
        <v/>
      </c>
      <c r="C23" s="94" t="str">
        <f>IFERROR((BP!C$32+BP!C$39)/BP!C$43,"")</f>
        <v/>
      </c>
      <c r="D23" s="94" t="str">
        <f>IFERROR((BP!D$32+BP!D$39)/BP!D$43,"")</f>
        <v/>
      </c>
      <c r="E23" s="95" t="s">
        <v>387</v>
      </c>
      <c r="F23" s="95" t="s">
        <v>388</v>
      </c>
    </row>
    <row r="24" spans="1:15" x14ac:dyDescent="0.25">
      <c r="A24" s="80" t="s">
        <v>389</v>
      </c>
      <c r="B24" s="86" t="str">
        <f>IFERROR(BP!B$5/BP!B$32,"")</f>
        <v/>
      </c>
      <c r="C24" s="100" t="str">
        <f>IFERROR(BP!C$5/BP!C$32,"")</f>
        <v/>
      </c>
      <c r="D24" s="100" t="str">
        <f>IFERROR(BP!D$5/BP!D$32,"")</f>
        <v/>
      </c>
      <c r="E24" s="97" t="s">
        <v>390</v>
      </c>
      <c r="F24" s="97" t="s">
        <v>391</v>
      </c>
    </row>
    <row r="25" spans="1:15" x14ac:dyDescent="0.25">
      <c r="A25" s="82" t="s">
        <v>392</v>
      </c>
      <c r="B25" s="83" t="str">
        <f>IFERROR(BP!B$8/BP!B$43,"")</f>
        <v/>
      </c>
      <c r="C25" s="98" t="str">
        <f>IFERROR(BP!C$8/BP!C$43,"")</f>
        <v/>
      </c>
      <c r="D25" s="98" t="str">
        <f>IFERROR(BP!D$8/BP!D$43,"")</f>
        <v/>
      </c>
      <c r="E25" s="95" t="s">
        <v>393</v>
      </c>
      <c r="F25" s="95" t="s">
        <v>394</v>
      </c>
    </row>
    <row r="26" spans="1:15" x14ac:dyDescent="0.25">
      <c r="C26" s="101"/>
      <c r="D26" s="101"/>
      <c r="E26" s="101"/>
      <c r="F26" s="101"/>
    </row>
    <row r="27" spans="1:15" x14ac:dyDescent="0.25">
      <c r="C27" s="101"/>
      <c r="D27" s="101"/>
      <c r="E27" s="101"/>
      <c r="F27" s="101"/>
    </row>
    <row r="28" spans="1:15" x14ac:dyDescent="0.25">
      <c r="A28" s="104" t="s">
        <v>395</v>
      </c>
      <c r="B28" s="105"/>
      <c r="C28" s="106"/>
      <c r="D28" s="106"/>
      <c r="E28" s="106"/>
      <c r="F28" s="106"/>
    </row>
    <row r="29" spans="1:15" x14ac:dyDescent="0.25">
      <c r="A29" s="79" t="s">
        <v>345</v>
      </c>
      <c r="B29" s="79" t="s">
        <v>396</v>
      </c>
      <c r="C29" s="102" t="s">
        <v>372</v>
      </c>
      <c r="D29" s="102" t="s">
        <v>397</v>
      </c>
      <c r="E29" s="102" t="s">
        <v>398</v>
      </c>
      <c r="F29" s="102" t="s">
        <v>399</v>
      </c>
    </row>
    <row r="30" spans="1:15" ht="38.25" x14ac:dyDescent="0.25">
      <c r="A30" s="89" t="s">
        <v>400</v>
      </c>
      <c r="B30" s="90" t="str">
        <f>IFERROR((DRE!$AK$149+DRE!$AK$150-DRE!$AK$163+DRE!$AK$169)/BP!$D$43,"")</f>
        <v/>
      </c>
      <c r="C30" s="103" t="s">
        <v>401</v>
      </c>
      <c r="D30" s="103" t="s">
        <v>402</v>
      </c>
      <c r="E30" s="103" t="s">
        <v>403</v>
      </c>
      <c r="F30" s="103" t="s">
        <v>404</v>
      </c>
    </row>
    <row r="31" spans="1:15" ht="51" x14ac:dyDescent="0.25">
      <c r="A31" s="91" t="s">
        <v>405</v>
      </c>
      <c r="B31" s="92" t="str">
        <f>IFERROR((DRE!$AK$149+DRE!$AK$150-DRE!$AK$163+DRE!$AK$169)/DRE!$AK$43,"")</f>
        <v/>
      </c>
      <c r="C31" s="95" t="s">
        <v>406</v>
      </c>
      <c r="D31" s="95" t="s">
        <v>402</v>
      </c>
      <c r="E31" s="95" t="s">
        <v>407</v>
      </c>
      <c r="F31" s="95" t="s">
        <v>408</v>
      </c>
    </row>
    <row r="32" spans="1:15" ht="38.25" x14ac:dyDescent="0.25">
      <c r="A32" s="89" t="s">
        <v>409</v>
      </c>
      <c r="B32" s="90" t="str">
        <f>IFERROR(FC!$N$133/(DRE!$AK$149+DRE!$AK$150-DRE!$AK$163+DRE!$AK$169),"")</f>
        <v/>
      </c>
      <c r="C32" s="103" t="s">
        <v>410</v>
      </c>
      <c r="D32" s="103" t="s">
        <v>402</v>
      </c>
      <c r="E32" s="103" t="s">
        <v>411</v>
      </c>
      <c r="F32" s="103" t="s">
        <v>408</v>
      </c>
    </row>
    <row r="33" spans="1:15" ht="38.25" x14ac:dyDescent="0.25">
      <c r="A33" s="91" t="s">
        <v>412</v>
      </c>
      <c r="B33" s="92" t="str">
        <f>IFERROR(FC!$N$135/DRE!$AK$43,"")</f>
        <v/>
      </c>
      <c r="C33" s="95" t="s">
        <v>413</v>
      </c>
      <c r="D33" s="95" t="s">
        <v>402</v>
      </c>
      <c r="E33" s="95" t="s">
        <v>414</v>
      </c>
      <c r="F33" s="95" t="s">
        <v>408</v>
      </c>
    </row>
    <row r="34" spans="1:15" ht="25.5" x14ac:dyDescent="0.25">
      <c r="A34" s="89" t="s">
        <v>415</v>
      </c>
      <c r="B34" s="93">
        <f>IFERROR(BP!$D$4-BP!$D$32,"")</f>
        <v>0</v>
      </c>
      <c r="C34" s="103" t="s">
        <v>416</v>
      </c>
      <c r="D34" s="103" t="s">
        <v>402</v>
      </c>
      <c r="E34" s="103" t="s">
        <v>417</v>
      </c>
      <c r="F34" s="103" t="s">
        <v>418</v>
      </c>
    </row>
    <row r="37" spans="1:15" x14ac:dyDescent="0.25">
      <c r="A37" s="109" t="s">
        <v>419</v>
      </c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</row>
  </sheetData>
  <mergeCells count="6">
    <mergeCell ref="A28:F28"/>
    <mergeCell ref="A2:O2"/>
    <mergeCell ref="A1:O1"/>
    <mergeCell ref="A37:O37"/>
    <mergeCell ref="A5:O5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FC</vt:lpstr>
      <vt:lpstr>DRE</vt:lpstr>
      <vt:lpstr>BP</vt:lpstr>
      <vt:lpstr>Indicadores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Lemmi Consultoria</cp:lastModifiedBy>
  <dcterms:created xsi:type="dcterms:W3CDTF">2026-03-31T13:44:17Z</dcterms:created>
  <dcterms:modified xsi:type="dcterms:W3CDTF">2026-03-31T14:14:18Z</dcterms:modified>
</cp:coreProperties>
</file>