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G:\Drives compartilhados\PROJETOS - RAIANE\RV ASSOCIADOS\VERTEX 360\3- DESENVOLVIMENTO\FINANÇAS\Controles Financeiros\"/>
    </mc:Choice>
  </mc:AlternateContent>
  <xr:revisionPtr revIDLastSave="0" documentId="13_ncr:1_{524E43F9-9455-42C2-B810-4DF8AE0B7B57}" xr6:coauthVersionLast="47" xr6:coauthVersionMax="47" xr10:uidLastSave="{00000000-0000-0000-0000-000000000000}"/>
  <bookViews>
    <workbookView xWindow="-120" yWindow="-120" windowWidth="20730" windowHeight="11040" xr2:uid="{7668039B-E57A-48C1-AF1E-BD1C17606404}"/>
  </bookViews>
  <sheets>
    <sheet name="Quadro" sheetId="1" r:id="rId1"/>
  </sheets>
  <calcPr calcId="191029"/>
  <pivotCaches>
    <pivotCache cacheId="2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" i="1" l="1"/>
  <c r="N6" i="1"/>
  <c r="N7" i="1"/>
  <c r="N8" i="1"/>
  <c r="N9" i="1"/>
  <c r="N10" i="1"/>
  <c r="N11" i="1"/>
  <c r="N12" i="1"/>
  <c r="N13" i="1"/>
  <c r="N14" i="1"/>
  <c r="N15" i="1"/>
  <c r="N16" i="1"/>
  <c r="N17" i="1"/>
  <c r="J9" i="1"/>
  <c r="J10" i="1"/>
  <c r="J11" i="1"/>
  <c r="J12" i="1"/>
  <c r="J13" i="1"/>
  <c r="J14" i="1"/>
  <c r="J15" i="1"/>
  <c r="J16" i="1"/>
  <c r="J17" i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5" i="1"/>
  <c r="R5" i="1" s="1"/>
  <c r="I18" i="1"/>
  <c r="J18" i="1" s="1"/>
  <c r="J8" i="1" l="1"/>
  <c r="J7" i="1"/>
  <c r="J6" i="1"/>
  <c r="J5" i="1"/>
</calcChain>
</file>

<file path=xl/sharedStrings.xml><?xml version="1.0" encoding="utf-8"?>
<sst xmlns="http://schemas.openxmlformats.org/spreadsheetml/2006/main" count="49" uniqueCount="34">
  <si>
    <t>Data de captação</t>
  </si>
  <si>
    <t>Valor Principal do contrato</t>
  </si>
  <si>
    <t>%</t>
  </si>
  <si>
    <t>Qtde parcelas do contrato</t>
  </si>
  <si>
    <t>Qtde Parcelas Pagas</t>
  </si>
  <si>
    <t>Qtde Parcelas restantes</t>
  </si>
  <si>
    <t>Qtde Parcelas em atraso</t>
  </si>
  <si>
    <t>Taxa de Juros efetiva Ponderada</t>
  </si>
  <si>
    <t>FCO</t>
  </si>
  <si>
    <t>Santander</t>
  </si>
  <si>
    <t>Dívidas tributárias</t>
  </si>
  <si>
    <t>QUADRO DE ENDIVIDAMENTO</t>
  </si>
  <si>
    <t>Total</t>
  </si>
  <si>
    <t>Banco</t>
  </si>
  <si>
    <t>Tipo</t>
  </si>
  <si>
    <t>Banco Brasil</t>
  </si>
  <si>
    <t>Receita Federal</t>
  </si>
  <si>
    <t>Tributo</t>
  </si>
  <si>
    <t>Rótulos de Linha</t>
  </si>
  <si>
    <t>Total Geral</t>
  </si>
  <si>
    <t>Soma de %</t>
  </si>
  <si>
    <t>Soma de Taxa de Juros efetiva Ponderada</t>
  </si>
  <si>
    <t>Obs.: última atualização dessa planilha: 02/09/2025</t>
  </si>
  <si>
    <t>Nome Fornecedor</t>
  </si>
  <si>
    <t>Contrato</t>
  </si>
  <si>
    <t>Pronampe</t>
  </si>
  <si>
    <t>Valor Parcelas</t>
  </si>
  <si>
    <t>%  Pago</t>
  </si>
  <si>
    <t>%             A Pagar</t>
  </si>
  <si>
    <t>(vazio)</t>
  </si>
  <si>
    <t>Data 1º Parcela</t>
  </si>
  <si>
    <t>Data Última</t>
  </si>
  <si>
    <t>Data Vencimento</t>
  </si>
  <si>
    <t>Saldo Devedor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</si>
</sst>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 tint="-0.24994659260841701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2" fillId="0" borderId="0" xfId="0" applyFont="1"/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0" applyNumberFormat="1"/>
    <xf numFmtId="10" fontId="0" fillId="0" borderId="0" xfId="2" applyNumberFormat="1" applyFont="1" applyAlignment="1">
      <alignment horizontal="center" vertical="center"/>
    </xf>
    <xf numFmtId="0" fontId="0" fillId="0" borderId="0" xfId="0" quotePrefix="1"/>
    <xf numFmtId="0" fontId="3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/>
    <xf numFmtId="0" fontId="2" fillId="2" borderId="0" xfId="0" applyFont="1" applyFill="1" applyAlignment="1">
      <alignment horizontal="center" vertical="center"/>
    </xf>
    <xf numFmtId="44" fontId="2" fillId="2" borderId="0" xfId="0" applyNumberFormat="1" applyFont="1" applyFill="1" applyAlignment="1">
      <alignment horizontal="center" vertical="center"/>
    </xf>
    <xf numFmtId="9" fontId="2" fillId="2" borderId="0" xfId="0" applyNumberFormat="1" applyFont="1" applyFill="1" applyAlignment="1">
      <alignment horizontal="center" vertical="center"/>
    </xf>
    <xf numFmtId="1" fontId="2" fillId="2" borderId="0" xfId="0" applyNumberFormat="1" applyFont="1" applyFill="1" applyAlignment="1">
      <alignment horizontal="center" vertical="center"/>
    </xf>
    <xf numFmtId="1" fontId="4" fillId="2" borderId="0" xfId="0" applyNumberFormat="1" applyFont="1" applyFill="1" applyAlignment="1">
      <alignment horizontal="center" vertical="center"/>
    </xf>
    <xf numFmtId="10" fontId="2" fillId="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9" fontId="0" fillId="3" borderId="0" xfId="2" applyFont="1" applyFill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44" fontId="0" fillId="0" borderId="0" xfId="1" applyFont="1" applyFill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2"/>
        </patternFill>
      </fill>
    </dxf>
    <dxf>
      <font>
        <b/>
      </font>
      <fill>
        <patternFill patternType="solid">
          <fgColor indexed="64"/>
          <bgColor theme="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theme="2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Estilo de Tabela 1" pivot="0" count="2" xr9:uid="{CF159A6F-C604-45D4-85AB-A848D464930D}">
      <tableStyleElement type="wholeTable" dxfId="36"/>
      <tableStyleElement type="headerRow" dxfId="35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[Quadro de Endividamento.xlsm]Quadro!Tabela dinâmica1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2">
                    <a:lumMod val="50000"/>
                  </a:schemeClr>
                </a:solidFill>
              </a:rPr>
              <a:t>Participação no Montante</a:t>
            </a:r>
          </a:p>
        </c:rich>
      </c:tx>
      <c:layout>
        <c:manualLayout>
          <c:xMode val="edge"/>
          <c:yMode val="edge"/>
          <c:x val="0.25712489063867017"/>
          <c:y val="4.99052201808107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2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solidFill>
              <a:srgbClr val="FFFFFF">
                <a:alpha val="69804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2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3055555555555558E-2"/>
          <c:y val="0.32312445319335081"/>
          <c:w val="0.89166666666666661"/>
          <c:h val="0.63298519976669587"/>
        </c:manualLayout>
      </c:layout>
      <c:pie3DChart>
        <c:varyColors val="1"/>
        <c:ser>
          <c:idx val="0"/>
          <c:order val="0"/>
          <c:tx>
            <c:strRef>
              <c:f>Quadro!$C$23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F385-4C65-8571-01FB91A7ADB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F385-4C65-8571-01FB91A7ADB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F385-4C65-8571-01FB91A7ADB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F385-4C65-8571-01FB91A7ADB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F385-4C65-8571-01FB91A7ADB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F385-4C65-8571-01FB91A7ADB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F385-4C65-8571-01FB91A7ADB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F-F385-4C65-8571-01FB91A7ADB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1-9BA7-41E8-B7C3-3AFEA4E3532A}"/>
              </c:ext>
            </c:extLst>
          </c:dPt>
          <c:dLbls>
            <c:spPr>
              <a:solidFill>
                <a:srgbClr val="FFFFFF">
                  <a:alpha val="69804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Quadro!$B$24:$B$29</c:f>
              <c:strCache>
                <c:ptCount val="5"/>
                <c:pt idx="0">
                  <c:v>Banco Brasil</c:v>
                </c:pt>
                <c:pt idx="1">
                  <c:v>Pronampe</c:v>
                </c:pt>
                <c:pt idx="2">
                  <c:v>Receita Federal</c:v>
                </c:pt>
                <c:pt idx="3">
                  <c:v>Santander</c:v>
                </c:pt>
                <c:pt idx="4">
                  <c:v>(vazio)</c:v>
                </c:pt>
              </c:strCache>
            </c:strRef>
          </c:cat>
          <c:val>
            <c:numRef>
              <c:f>Quadro!$C$24:$C$29</c:f>
              <c:numCache>
                <c:formatCode>0%</c:formatCode>
                <c:ptCount val="5"/>
                <c:pt idx="0">
                  <c:v>0.34706984891771819</c:v>
                </c:pt>
                <c:pt idx="1">
                  <c:v>0.48589778848480553</c:v>
                </c:pt>
                <c:pt idx="2">
                  <c:v>2.8204423030389017E-2</c:v>
                </c:pt>
                <c:pt idx="3">
                  <c:v>0.13882793956708728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385-4C65-8571-01FB91A7ADB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[Quadro de Endividamento.xlsm]Quadro!Tabela dinâmica2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Taxa Efetiva de Juros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Quadro!$G$23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Quadro!$F$24:$F$29</c:f>
              <c:strCache>
                <c:ptCount val="5"/>
                <c:pt idx="0">
                  <c:v>Banco Brasil</c:v>
                </c:pt>
                <c:pt idx="1">
                  <c:v>Pronampe</c:v>
                </c:pt>
                <c:pt idx="2">
                  <c:v>Receita Federal</c:v>
                </c:pt>
                <c:pt idx="3">
                  <c:v>Santander</c:v>
                </c:pt>
                <c:pt idx="4">
                  <c:v>(vazio)</c:v>
                </c:pt>
              </c:strCache>
            </c:strRef>
          </c:cat>
          <c:val>
            <c:numRef>
              <c:f>Quadro!$G$24:$G$29</c:f>
              <c:numCache>
                <c:formatCode>0.00%</c:formatCode>
                <c:ptCount val="5"/>
                <c:pt idx="0">
                  <c:v>5.0000000000000001E-3</c:v>
                </c:pt>
                <c:pt idx="1">
                  <c:v>2.3E-2</c:v>
                </c:pt>
                <c:pt idx="2">
                  <c:v>1.78E-2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E-4A54-BA8B-C4358526ADC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07492239"/>
        <c:axId val="1707497039"/>
      </c:barChart>
      <c:catAx>
        <c:axId val="1707492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97039"/>
        <c:crosses val="autoZero"/>
        <c:auto val="1"/>
        <c:lblAlgn val="ctr"/>
        <c:lblOffset val="100"/>
        <c:noMultiLvlLbl val="0"/>
      </c:catAx>
      <c:valAx>
        <c:axId val="170749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74922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21</xdr:row>
      <xdr:rowOff>0</xdr:rowOff>
    </xdr:from>
    <xdr:to>
      <xdr:col>3</xdr:col>
      <xdr:colOff>2609850</xdr:colOff>
      <xdr:row>34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E0175ED-F4F1-4E9B-96FF-7EEFF4EF8A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152400</xdr:colOff>
      <xdr:row>21</xdr:row>
      <xdr:rowOff>0</xdr:rowOff>
    </xdr:from>
    <xdr:to>
      <xdr:col>12</xdr:col>
      <xdr:colOff>323850</xdr:colOff>
      <xdr:row>35</xdr:row>
      <xdr:rowOff>76200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E3C88817-219A-4319-9DC3-E174E3FFA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85725</xdr:colOff>
          <xdr:row>0</xdr:row>
          <xdr:rowOff>57150</xdr:rowOff>
        </xdr:from>
        <xdr:to>
          <xdr:col>13</xdr:col>
          <xdr:colOff>333375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079.425451157411" missingItemsLimit="0" createdVersion="8" refreshedVersion="8" minRefreshableVersion="3" recordCount="13" xr:uid="{665EC265-1C1D-4BCA-98EA-70FB9480B0C2}">
  <cacheSource type="worksheet">
    <worksheetSource name="Tabela1"/>
  </cacheSource>
  <cacheFields count="18">
    <cacheField name="Tipo" numFmtId="0">
      <sharedItems containsBlank="1"/>
    </cacheField>
    <cacheField name="Nome Fornecedor" numFmtId="0">
      <sharedItems containsBlank="1" count="5">
        <s v="Banco Brasil"/>
        <s v="Santander"/>
        <s v="Pronampe"/>
        <s v="Receita Federal"/>
        <m/>
      </sharedItems>
    </cacheField>
    <cacheField name="Contrato" numFmtId="0">
      <sharedItems containsBlank="1"/>
    </cacheField>
    <cacheField name="Data de captação" numFmtId="14">
      <sharedItems containsNonDate="0" containsDate="1" containsString="0" containsBlank="1" minDate="2025-09-02T00:00:00" maxDate="2025-09-03T00:00:00"/>
    </cacheField>
    <cacheField name="Data Vencimento" numFmtId="14">
      <sharedItems containsNonDate="0" containsString="0" containsBlank="1"/>
    </cacheField>
    <cacheField name="Data 1º Parcela" numFmtId="14">
      <sharedItems containsNonDate="0" containsString="0" containsBlank="1"/>
    </cacheField>
    <cacheField name="Data Última" numFmtId="14">
      <sharedItems containsNonDate="0" containsString="0" containsBlank="1"/>
    </cacheField>
    <cacheField name="Valor Principal do contrato" numFmtId="44">
      <sharedItems containsString="0" containsBlank="1" containsNumber="1" minValue="40632.199999999997" maxValue="700000"/>
    </cacheField>
    <cacheField name="%" numFmtId="9">
      <sharedItems containsMixedTypes="1" containsNumber="1" minValue="2.8204423030389017E-2" maxValue="0.48589778848480553"/>
    </cacheField>
    <cacheField name="Valor Parcelas" numFmtId="0">
      <sharedItems containsString="0" containsBlank="1" containsNumber="1" containsInteger="1" minValue="500" maxValue="500"/>
    </cacheField>
    <cacheField name="Qtde parcelas do contrato" numFmtId="0">
      <sharedItems containsString="0" containsBlank="1" containsNumber="1" containsInteger="1" minValue="3" maxValue="60"/>
    </cacheField>
    <cacheField name="Qtde Parcelas Pagas" numFmtId="0">
      <sharedItems containsString="0" containsBlank="1" containsNumber="1" containsInteger="1" minValue="1" maxValue="10"/>
    </cacheField>
    <cacheField name="Qtde Parcelas restantes" numFmtId="0">
      <sharedItems containsMixedTypes="1" containsNumber="1" containsInteger="1" minValue="2" maxValue="50"/>
    </cacheField>
    <cacheField name="Qtde Parcelas em atraso" numFmtId="0">
      <sharedItems containsString="0" containsBlank="1" containsNumber="1" containsInteger="1" minValue="0" maxValue="2"/>
    </cacheField>
    <cacheField name="Taxa de Juros efetiva Ponderada" numFmtId="10">
      <sharedItems containsString="0" containsBlank="1" containsNumber="1" minValue="0" maxValue="2.3E-2"/>
    </cacheField>
    <cacheField name="%  Pago" numFmtId="9">
      <sharedItems containsMixedTypes="1" containsNumber="1" minValue="0.16666666666666666" maxValue="0.4"/>
    </cacheField>
    <cacheField name="%             A Pagar" numFmtId="9">
      <sharedItems containsMixedTypes="1" containsNumber="1" minValue="0.6" maxValue="0.83333333333333337"/>
    </cacheField>
    <cacheField name="Saldo Devedor" numFmtId="4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Banco"/>
    <x v="0"/>
    <s v="FCO"/>
    <d v="2025-09-02T00:00:00"/>
    <m/>
    <m/>
    <m/>
    <n v="500000"/>
    <n v="0.34706984891771819"/>
    <n v="500"/>
    <n v="6"/>
    <n v="2"/>
    <n v="4"/>
    <n v="1"/>
    <n v="5.0000000000000001E-3"/>
    <n v="0.33333333333333331"/>
    <n v="0.66666666666666674"/>
    <m/>
  </r>
  <r>
    <s v="Banco"/>
    <x v="1"/>
    <s v="Santander"/>
    <m/>
    <m/>
    <m/>
    <m/>
    <n v="200000"/>
    <n v="0.13882793956708728"/>
    <m/>
    <n v="10"/>
    <n v="4"/>
    <n v="6"/>
    <n v="2"/>
    <n v="0"/>
    <n v="0.4"/>
    <n v="0.6"/>
    <m/>
  </r>
  <r>
    <s v="Banco"/>
    <x v="2"/>
    <s v="Pronampe"/>
    <m/>
    <m/>
    <m/>
    <m/>
    <n v="700000"/>
    <n v="0.48589778848480553"/>
    <m/>
    <n v="3"/>
    <n v="1"/>
    <n v="2"/>
    <n v="0"/>
    <n v="2.3E-2"/>
    <n v="0.33333333333333331"/>
    <n v="0.66666666666666674"/>
    <m/>
  </r>
  <r>
    <s v="Tributo"/>
    <x v="3"/>
    <s v="Dívidas tributárias"/>
    <m/>
    <m/>
    <m/>
    <m/>
    <n v="40632.199999999997"/>
    <n v="2.8204423030389017E-2"/>
    <m/>
    <n v="60"/>
    <n v="10"/>
    <n v="50"/>
    <n v="2"/>
    <n v="1.78E-2"/>
    <n v="0.16666666666666666"/>
    <n v="0.83333333333333337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  <r>
    <m/>
    <x v="4"/>
    <m/>
    <m/>
    <m/>
    <m/>
    <m/>
    <m/>
    <s v=""/>
    <m/>
    <m/>
    <m/>
    <s v=""/>
    <m/>
    <m/>
    <s v=""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FEA78-EF81-4A2C-A004-FA21601A6128}" name="Tabela dinâmica2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F23:G29" firstHeaderRow="1" firstDataRow="1" firstDataCol="1"/>
  <pivotFields count="18">
    <pivotField showAll="0"/>
    <pivotField axis="axisRow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44" showAll="0"/>
    <pivotField numFmtId="9" showAll="0"/>
    <pivotField showAll="0"/>
    <pivotField showAll="0"/>
    <pivotField showAll="0"/>
    <pivotField showAll="0"/>
    <pivotField showAll="0"/>
    <pivotField dataField="1" numFmtId="10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Taxa de Juros efetiva Ponderada" fld="14" baseField="0" baseItem="0" numFmtId="1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54E153-DD91-4AE8-946C-54F0372FDD1E}" name="Tabela dinâmica1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9">
  <location ref="B23:C29" firstHeaderRow="1" firstDataRow="1" firstDataCol="1"/>
  <pivotFields count="18">
    <pivotField showAll="0"/>
    <pivotField axis="axisRow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numFmtId="44" showAll="0"/>
    <pivotField dataField="1" numFmtId="9" showAll="0"/>
    <pivotField showAll="0"/>
    <pivotField showAll="0"/>
    <pivotField showAll="0"/>
    <pivotField showAll="0"/>
    <pivotField showAll="0"/>
    <pivotField numFmtId="10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a de %" fld="8" baseField="0" baseItem="0" numFmtId="9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82AAAD-618A-471D-9445-1D79B4268E2D}" name="Tabela1" displayName="Tabela1" ref="B4:S18" totalsRowCount="1" headerRowDxfId="34" totalsRowDxfId="33">
  <autoFilter ref="B4:S17" xr:uid="{FE82AAAD-618A-471D-9445-1D79B4268E2D}"/>
  <tableColumns count="18">
    <tableColumn id="13" xr3:uid="{1969F996-5CFC-4260-A8FE-A7221F343DFC}" name="Tipo" totalsRowLabel="Total" totalsRowDxfId="32"/>
    <tableColumn id="2" xr3:uid="{BB37D8BD-B4B5-45F4-9376-6C5226537CDC}" name="Nome Fornecedor" totalsRowDxfId="31"/>
    <tableColumn id="1" xr3:uid="{BC83B6AC-9748-4469-B566-8729691181AA}" name="Contrato" totalsRowDxfId="30"/>
    <tableColumn id="3" xr3:uid="{5139C52E-1D91-4A49-8380-30260CEC34EF}" name="Data de captação" dataDxfId="29" totalsRowDxfId="28"/>
    <tableColumn id="14" xr3:uid="{90B37CFF-A0F9-47DF-AE68-B70639FB8966}" name="Data Vencimento" dataDxfId="27" totalsRowDxfId="26"/>
    <tableColumn id="17" xr3:uid="{E77D330B-D281-40E6-8380-EEC33FB7625C}" name="Data 1º Parcela" dataDxfId="25" totalsRowDxfId="24"/>
    <tableColumn id="16" xr3:uid="{ACC3CD1A-5D4B-43EC-8C44-2BA1C2656CED}" name="Data Última" dataDxfId="23" totalsRowDxfId="22"/>
    <tableColumn id="4" xr3:uid="{03C65607-BB32-4432-BBC4-CEF2823CE4FD}" name="Valor Principal do contrato" totalsRowFunction="sum" dataDxfId="21" totalsRowDxfId="20"/>
    <tableColumn id="5" xr3:uid="{B13F68B5-5BD1-483D-8CDF-AB7451896730}" name="%" totalsRowFunction="custom" dataDxfId="19" totalsRowDxfId="18" dataCellStyle="Porcentagem">
      <calculatedColumnFormula>IF(I5="","",IFERROR(I5/$I$18,""))</calculatedColumnFormula>
      <totalsRowFormula>I18/$I$18</totalsRowFormula>
    </tableColumn>
    <tableColumn id="15" xr3:uid="{E166689C-0B90-46FE-AD54-AD4BE7E51387}" name="Valor Parcelas" dataDxfId="17" totalsRowDxfId="16" dataCellStyle="Porcentagem"/>
    <tableColumn id="6" xr3:uid="{A9944520-1C53-46C6-A408-700D8AAD890A}" name="Qtde parcelas do contrato" dataDxfId="15" totalsRowDxfId="14"/>
    <tableColumn id="7" xr3:uid="{C62D1B58-DF34-4686-AE6D-68E258096C80}" name="Qtde Parcelas Pagas" dataDxfId="13" totalsRowDxfId="12"/>
    <tableColumn id="8" xr3:uid="{BB94A30C-F539-47E4-8ED3-F0686B35D330}" name="Qtde Parcelas restantes" dataDxfId="11" totalsRowDxfId="10">
      <calculatedColumnFormula>IF(L5="","",IFERROR(L5-M5,""))</calculatedColumnFormula>
    </tableColumn>
    <tableColumn id="9" xr3:uid="{58A2A924-85A2-41E5-A7A7-D9044BC80C68}" name="Qtde Parcelas em atraso" dataDxfId="9" totalsRowDxfId="8"/>
    <tableColumn id="10" xr3:uid="{BC42DE1B-57AF-4921-A672-CC6EDD416106}" name="Taxa de Juros efetiva Ponderada" dataDxfId="7" totalsRowDxfId="6" dataCellStyle="Porcentagem"/>
    <tableColumn id="11" xr3:uid="{6BC6FEF2-780F-4E25-8CB6-42B7287A5F27}" name="%  Pago" dataDxfId="5" totalsRowDxfId="4" dataCellStyle="Porcentagem">
      <calculatedColumnFormula>IFERROR(M5/L5,"")</calculatedColumnFormula>
    </tableColumn>
    <tableColumn id="12" xr3:uid="{97D4FAA9-EF23-43A5-8C6B-5EC13FB52846}" name="%             A Pagar" dataDxfId="3" totalsRowDxfId="2" dataCellStyle="Porcentagem">
      <calculatedColumnFormula>IFERROR(100%-Q5,"")</calculatedColumnFormula>
    </tableColumn>
    <tableColumn id="18" xr3:uid="{0FE1508F-061D-4631-AAF3-ECA92D8DD1D8}" name="Saldo Devedor" dataDxfId="1" totalsRowDxfId="0" dataCellStyle="Moeda"/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8DA44-4D02-49C9-8EBF-27FCA07F9651}">
  <sheetPr codeName="Planilha1"/>
  <dimension ref="B1:S34"/>
  <sheetViews>
    <sheetView showGridLines="0" tabSelected="1" zoomScaleNormal="100" workbookViewId="0">
      <pane ySplit="4" topLeftCell="A5" activePane="bottomLeft" state="frozen"/>
      <selection pane="bottomLeft" activeCell="D4" sqref="D4"/>
    </sheetView>
  </sheetViews>
  <sheetFormatPr defaultRowHeight="15" x14ac:dyDescent="0.25"/>
  <cols>
    <col min="1" max="1" width="0.7109375" customWidth="1"/>
    <col min="2" max="2" width="14.28515625" customWidth="1"/>
    <col min="3" max="3" width="14.7109375" customWidth="1"/>
    <col min="4" max="4" width="39.28515625" customWidth="1"/>
    <col min="5" max="6" width="11.28515625" style="3" customWidth="1"/>
    <col min="7" max="7" width="14.140625" style="3" customWidth="1"/>
    <col min="8" max="8" width="15.85546875" style="3" customWidth="1"/>
    <col min="9" max="9" width="16.5703125" style="3" bestFit="1" customWidth="1"/>
    <col min="10" max="10" width="6.42578125" style="3" customWidth="1"/>
    <col min="11" max="11" width="14" style="3" customWidth="1"/>
    <col min="12" max="12" width="8.7109375" style="3" customWidth="1"/>
    <col min="13" max="13" width="8.28515625" style="3" customWidth="1"/>
    <col min="14" max="14" width="8.42578125" style="3" customWidth="1"/>
    <col min="15" max="15" width="9.42578125" style="3" customWidth="1"/>
    <col min="16" max="16" width="10" style="3" customWidth="1"/>
    <col min="17" max="18" width="6.140625" customWidth="1"/>
    <col min="19" max="19" width="12.5703125" customWidth="1"/>
  </cols>
  <sheetData>
    <row r="1" spans="2:19" ht="5.25" customHeight="1" x14ac:dyDescent="0.25"/>
    <row r="2" spans="2:19" ht="21" x14ac:dyDescent="0.35">
      <c r="B2" s="12" t="s">
        <v>11</v>
      </c>
      <c r="C2" s="2"/>
    </row>
    <row r="3" spans="2:19" ht="5.25" customHeight="1" x14ac:dyDescent="0.25"/>
    <row r="4" spans="2:19" ht="73.5" customHeight="1" x14ac:dyDescent="0.25">
      <c r="B4" s="14" t="s">
        <v>14</v>
      </c>
      <c r="C4" s="14" t="s">
        <v>23</v>
      </c>
      <c r="D4" s="14" t="s">
        <v>24</v>
      </c>
      <c r="E4" s="13" t="s">
        <v>0</v>
      </c>
      <c r="F4" s="13" t="s">
        <v>32</v>
      </c>
      <c r="G4" s="13" t="s">
        <v>30</v>
      </c>
      <c r="H4" s="13" t="s">
        <v>31</v>
      </c>
      <c r="I4" s="13" t="s">
        <v>1</v>
      </c>
      <c r="J4" s="13" t="s">
        <v>2</v>
      </c>
      <c r="K4" s="13" t="s">
        <v>26</v>
      </c>
      <c r="L4" s="13" t="s">
        <v>3</v>
      </c>
      <c r="M4" s="13" t="s">
        <v>4</v>
      </c>
      <c r="N4" s="13" t="s">
        <v>5</v>
      </c>
      <c r="O4" s="13" t="s">
        <v>6</v>
      </c>
      <c r="P4" s="13" t="s">
        <v>7</v>
      </c>
      <c r="Q4" s="13" t="s">
        <v>27</v>
      </c>
      <c r="R4" s="13" t="s">
        <v>28</v>
      </c>
      <c r="S4" s="13" t="s">
        <v>33</v>
      </c>
    </row>
    <row r="5" spans="2:19" x14ac:dyDescent="0.25">
      <c r="B5" t="s">
        <v>13</v>
      </c>
      <c r="C5" t="s">
        <v>15</v>
      </c>
      <c r="D5" t="s">
        <v>8</v>
      </c>
      <c r="E5" s="15">
        <v>45902</v>
      </c>
      <c r="F5" s="15"/>
      <c r="G5" s="15"/>
      <c r="H5" s="15"/>
      <c r="I5" s="4">
        <v>500000</v>
      </c>
      <c r="J5" s="24">
        <f t="shared" ref="J5:J17" si="0">IF(I5="","",IFERROR(I5/$I$18,""))</f>
        <v>0.34706984891771819</v>
      </c>
      <c r="K5" s="26">
        <v>500</v>
      </c>
      <c r="L5" s="3">
        <v>6</v>
      </c>
      <c r="M5" s="3">
        <v>2</v>
      </c>
      <c r="N5" s="23">
        <f t="shared" ref="N5:N17" si="1">IF(L5="","",IFERROR(L5-M5,""))</f>
        <v>4</v>
      </c>
      <c r="O5" s="3">
        <v>1</v>
      </c>
      <c r="P5" s="6">
        <v>5.0000000000000001E-3</v>
      </c>
      <c r="Q5" s="24">
        <f t="shared" ref="Q5:Q17" si="2">IFERROR(M5/L5,"")</f>
        <v>0.33333333333333331</v>
      </c>
      <c r="R5" s="24">
        <f>IFERROR(100%-Q5,"")</f>
        <v>0.66666666666666674</v>
      </c>
      <c r="S5" s="4"/>
    </row>
    <row r="6" spans="2:19" x14ac:dyDescent="0.25">
      <c r="B6" t="s">
        <v>13</v>
      </c>
      <c r="C6" t="s">
        <v>9</v>
      </c>
      <c r="D6" t="s">
        <v>9</v>
      </c>
      <c r="E6" s="15"/>
      <c r="F6" s="15"/>
      <c r="G6" s="15"/>
      <c r="H6" s="15"/>
      <c r="I6" s="4">
        <v>200000</v>
      </c>
      <c r="J6" s="24">
        <f t="shared" si="0"/>
        <v>0.13882793956708728</v>
      </c>
      <c r="K6" s="25"/>
      <c r="L6" s="3">
        <v>10</v>
      </c>
      <c r="M6" s="3">
        <v>4</v>
      </c>
      <c r="N6" s="23">
        <f t="shared" si="1"/>
        <v>6</v>
      </c>
      <c r="O6" s="3">
        <v>2</v>
      </c>
      <c r="P6" s="6">
        <v>0</v>
      </c>
      <c r="Q6" s="24">
        <f t="shared" si="2"/>
        <v>0.4</v>
      </c>
      <c r="R6" s="24">
        <f t="shared" ref="R6:R17" si="3">IFERROR(100%-Q6,"")</f>
        <v>0.6</v>
      </c>
      <c r="S6" s="4"/>
    </row>
    <row r="7" spans="2:19" x14ac:dyDescent="0.25">
      <c r="B7" t="s">
        <v>13</v>
      </c>
      <c r="C7" t="s">
        <v>25</v>
      </c>
      <c r="D7" t="s">
        <v>25</v>
      </c>
      <c r="E7" s="15"/>
      <c r="F7" s="15"/>
      <c r="G7" s="15"/>
      <c r="H7" s="15"/>
      <c r="I7" s="4">
        <v>700000</v>
      </c>
      <c r="J7" s="24">
        <f t="shared" si="0"/>
        <v>0.48589778848480553</v>
      </c>
      <c r="K7" s="25"/>
      <c r="L7" s="3">
        <v>3</v>
      </c>
      <c r="M7" s="3">
        <v>1</v>
      </c>
      <c r="N7" s="23">
        <f t="shared" si="1"/>
        <v>2</v>
      </c>
      <c r="O7" s="3">
        <v>0</v>
      </c>
      <c r="P7" s="6">
        <v>2.3E-2</v>
      </c>
      <c r="Q7" s="24">
        <f t="shared" si="2"/>
        <v>0.33333333333333331</v>
      </c>
      <c r="R7" s="24">
        <f t="shared" si="3"/>
        <v>0.66666666666666674</v>
      </c>
      <c r="S7" s="4"/>
    </row>
    <row r="8" spans="2:19" x14ac:dyDescent="0.25">
      <c r="B8" t="s">
        <v>17</v>
      </c>
      <c r="C8" t="s">
        <v>16</v>
      </c>
      <c r="D8" t="s">
        <v>10</v>
      </c>
      <c r="E8" s="15"/>
      <c r="F8" s="15"/>
      <c r="G8" s="15"/>
      <c r="H8" s="15"/>
      <c r="I8" s="4">
        <v>40632.199999999997</v>
      </c>
      <c r="J8" s="24">
        <f t="shared" si="0"/>
        <v>2.8204423030389017E-2</v>
      </c>
      <c r="K8" s="25"/>
      <c r="L8" s="3">
        <v>60</v>
      </c>
      <c r="M8" s="3">
        <v>10</v>
      </c>
      <c r="N8" s="23">
        <f t="shared" si="1"/>
        <v>50</v>
      </c>
      <c r="O8" s="3">
        <v>2</v>
      </c>
      <c r="P8" s="6">
        <v>1.78E-2</v>
      </c>
      <c r="Q8" s="24">
        <f t="shared" si="2"/>
        <v>0.16666666666666666</v>
      </c>
      <c r="R8" s="24">
        <f t="shared" si="3"/>
        <v>0.83333333333333337</v>
      </c>
      <c r="S8" s="4"/>
    </row>
    <row r="9" spans="2:19" x14ac:dyDescent="0.25">
      <c r="E9" s="15"/>
      <c r="F9" s="15"/>
      <c r="G9" s="15"/>
      <c r="H9" s="15"/>
      <c r="I9" s="4"/>
      <c r="J9" s="24" t="str">
        <f t="shared" si="0"/>
        <v/>
      </c>
      <c r="K9" s="25"/>
      <c r="N9" s="23" t="str">
        <f t="shared" si="1"/>
        <v/>
      </c>
      <c r="P9" s="6"/>
      <c r="Q9" s="24" t="str">
        <f t="shared" si="2"/>
        <v/>
      </c>
      <c r="R9" s="24" t="str">
        <f t="shared" si="3"/>
        <v/>
      </c>
      <c r="S9" s="4"/>
    </row>
    <row r="10" spans="2:19" x14ac:dyDescent="0.25">
      <c r="E10" s="15"/>
      <c r="F10" s="15"/>
      <c r="G10" s="15"/>
      <c r="H10" s="15"/>
      <c r="I10" s="4"/>
      <c r="J10" s="24" t="str">
        <f t="shared" si="0"/>
        <v/>
      </c>
      <c r="K10" s="25"/>
      <c r="N10" s="23" t="str">
        <f t="shared" si="1"/>
        <v/>
      </c>
      <c r="P10" s="6"/>
      <c r="Q10" s="24" t="str">
        <f t="shared" si="2"/>
        <v/>
      </c>
      <c r="R10" s="24" t="str">
        <f t="shared" si="3"/>
        <v/>
      </c>
      <c r="S10" s="4"/>
    </row>
    <row r="11" spans="2:19" x14ac:dyDescent="0.25">
      <c r="E11" s="15"/>
      <c r="F11" s="15"/>
      <c r="G11" s="15"/>
      <c r="H11" s="15"/>
      <c r="I11" s="4"/>
      <c r="J11" s="24" t="str">
        <f t="shared" si="0"/>
        <v/>
      </c>
      <c r="K11" s="25"/>
      <c r="N11" s="23" t="str">
        <f t="shared" si="1"/>
        <v/>
      </c>
      <c r="P11" s="6"/>
      <c r="Q11" s="24" t="str">
        <f t="shared" si="2"/>
        <v/>
      </c>
      <c r="R11" s="24" t="str">
        <f t="shared" si="3"/>
        <v/>
      </c>
      <c r="S11" s="4"/>
    </row>
    <row r="12" spans="2:19" x14ac:dyDescent="0.25">
      <c r="E12" s="15"/>
      <c r="F12" s="15"/>
      <c r="G12" s="15"/>
      <c r="H12" s="15"/>
      <c r="I12" s="4"/>
      <c r="J12" s="24" t="str">
        <f t="shared" si="0"/>
        <v/>
      </c>
      <c r="K12" s="25"/>
      <c r="N12" s="23" t="str">
        <f t="shared" si="1"/>
        <v/>
      </c>
      <c r="P12" s="6"/>
      <c r="Q12" s="24" t="str">
        <f t="shared" si="2"/>
        <v/>
      </c>
      <c r="R12" s="24" t="str">
        <f t="shared" si="3"/>
        <v/>
      </c>
      <c r="S12" s="4"/>
    </row>
    <row r="13" spans="2:19" x14ac:dyDescent="0.25">
      <c r="C13" s="7"/>
      <c r="E13" s="15"/>
      <c r="F13" s="15"/>
      <c r="G13" s="15"/>
      <c r="H13" s="15"/>
      <c r="I13" s="4"/>
      <c r="J13" s="24" t="str">
        <f t="shared" si="0"/>
        <v/>
      </c>
      <c r="K13" s="25"/>
      <c r="N13" s="23" t="str">
        <f t="shared" si="1"/>
        <v/>
      </c>
      <c r="P13" s="6"/>
      <c r="Q13" s="24" t="str">
        <f t="shared" si="2"/>
        <v/>
      </c>
      <c r="R13" s="24" t="str">
        <f t="shared" si="3"/>
        <v/>
      </c>
      <c r="S13" s="4"/>
    </row>
    <row r="14" spans="2:19" x14ac:dyDescent="0.25">
      <c r="E14" s="15"/>
      <c r="F14" s="15"/>
      <c r="G14" s="15"/>
      <c r="H14" s="15"/>
      <c r="I14" s="4"/>
      <c r="J14" s="24" t="str">
        <f t="shared" si="0"/>
        <v/>
      </c>
      <c r="K14" s="25"/>
      <c r="N14" s="23" t="str">
        <f t="shared" si="1"/>
        <v/>
      </c>
      <c r="P14" s="6"/>
      <c r="Q14" s="24" t="str">
        <f t="shared" si="2"/>
        <v/>
      </c>
      <c r="R14" s="24" t="str">
        <f t="shared" si="3"/>
        <v/>
      </c>
      <c r="S14" s="4"/>
    </row>
    <row r="15" spans="2:19" x14ac:dyDescent="0.25">
      <c r="E15" s="15"/>
      <c r="F15" s="15"/>
      <c r="G15" s="15"/>
      <c r="H15" s="15"/>
      <c r="I15" s="4"/>
      <c r="J15" s="24" t="str">
        <f t="shared" si="0"/>
        <v/>
      </c>
      <c r="K15" s="25"/>
      <c r="N15" s="23" t="str">
        <f t="shared" si="1"/>
        <v/>
      </c>
      <c r="P15" s="6"/>
      <c r="Q15" s="24" t="str">
        <f t="shared" si="2"/>
        <v/>
      </c>
      <c r="R15" s="24" t="str">
        <f t="shared" si="3"/>
        <v/>
      </c>
      <c r="S15" s="4"/>
    </row>
    <row r="16" spans="2:19" x14ac:dyDescent="0.25">
      <c r="E16" s="15"/>
      <c r="F16" s="15"/>
      <c r="G16" s="15"/>
      <c r="H16" s="15"/>
      <c r="I16" s="4"/>
      <c r="J16" s="24" t="str">
        <f t="shared" si="0"/>
        <v/>
      </c>
      <c r="K16" s="25"/>
      <c r="N16" s="23" t="str">
        <f t="shared" si="1"/>
        <v/>
      </c>
      <c r="P16" s="6"/>
      <c r="Q16" s="24" t="str">
        <f t="shared" si="2"/>
        <v/>
      </c>
      <c r="R16" s="24" t="str">
        <f t="shared" si="3"/>
        <v/>
      </c>
      <c r="S16" s="4"/>
    </row>
    <row r="17" spans="2:19" x14ac:dyDescent="0.25">
      <c r="E17" s="15"/>
      <c r="F17" s="15"/>
      <c r="G17" s="15"/>
      <c r="H17" s="15"/>
      <c r="I17" s="4"/>
      <c r="J17" s="24" t="str">
        <f t="shared" si="0"/>
        <v/>
      </c>
      <c r="K17" s="25"/>
      <c r="N17" s="23" t="str">
        <f t="shared" si="1"/>
        <v/>
      </c>
      <c r="P17" s="6"/>
      <c r="Q17" s="24" t="str">
        <f t="shared" si="2"/>
        <v/>
      </c>
      <c r="R17" s="24" t="str">
        <f t="shared" si="3"/>
        <v/>
      </c>
      <c r="S17" s="4"/>
    </row>
    <row r="18" spans="2:19" s="2" customFormat="1" x14ac:dyDescent="0.25">
      <c r="B18" s="16" t="s">
        <v>12</v>
      </c>
      <c r="C18" s="16"/>
      <c r="D18" s="16"/>
      <c r="E18" s="17"/>
      <c r="F18" s="17"/>
      <c r="G18" s="17"/>
      <c r="H18" s="17"/>
      <c r="I18" s="18">
        <f>SUBTOTAL(109,Tabela1[Valor Principal do contrato])</f>
        <v>1440632.2</v>
      </c>
      <c r="J18" s="19">
        <f>I18/$I$18</f>
        <v>1</v>
      </c>
      <c r="K18" s="19"/>
      <c r="L18" s="20"/>
      <c r="M18" s="20"/>
      <c r="N18" s="20"/>
      <c r="O18" s="21"/>
      <c r="P18" s="22"/>
      <c r="Q18" s="19"/>
      <c r="R18" s="19"/>
      <c r="S18" s="22"/>
    </row>
    <row r="20" spans="2:19" x14ac:dyDescent="0.25">
      <c r="B20" s="1" t="s">
        <v>22</v>
      </c>
      <c r="C20" s="8"/>
    </row>
    <row r="23" spans="2:19" x14ac:dyDescent="0.25">
      <c r="B23" s="9" t="s">
        <v>18</v>
      </c>
      <c r="C23" t="s">
        <v>20</v>
      </c>
      <c r="F23" s="9" t="s">
        <v>18</v>
      </c>
      <c r="G23" t="s">
        <v>21</v>
      </c>
    </row>
    <row r="24" spans="2:19" x14ac:dyDescent="0.25">
      <c r="B24" s="10" t="s">
        <v>15</v>
      </c>
      <c r="C24" s="5">
        <v>0.34706984891771819</v>
      </c>
      <c r="F24" s="10" t="s">
        <v>15</v>
      </c>
      <c r="G24" s="11">
        <v>5.0000000000000001E-3</v>
      </c>
    </row>
    <row r="25" spans="2:19" x14ac:dyDescent="0.25">
      <c r="B25" s="10" t="s">
        <v>25</v>
      </c>
      <c r="C25" s="5">
        <v>0.48589778848480553</v>
      </c>
      <c r="F25" s="10" t="s">
        <v>25</v>
      </c>
      <c r="G25" s="11">
        <v>2.3E-2</v>
      </c>
    </row>
    <row r="26" spans="2:19" x14ac:dyDescent="0.25">
      <c r="B26" s="10" t="s">
        <v>16</v>
      </c>
      <c r="C26" s="5">
        <v>2.8204423030389017E-2</v>
      </c>
      <c r="F26" s="10" t="s">
        <v>16</v>
      </c>
      <c r="G26" s="11">
        <v>1.78E-2</v>
      </c>
    </row>
    <row r="27" spans="2:19" x14ac:dyDescent="0.25">
      <c r="B27" s="10" t="s">
        <v>9</v>
      </c>
      <c r="C27" s="5">
        <v>0.13882793956708728</v>
      </c>
      <c r="F27" s="10" t="s">
        <v>9</v>
      </c>
      <c r="G27" s="11">
        <v>0</v>
      </c>
    </row>
    <row r="28" spans="2:19" x14ac:dyDescent="0.25">
      <c r="B28" s="10" t="s">
        <v>29</v>
      </c>
      <c r="C28" s="5">
        <v>0</v>
      </c>
      <c r="F28" s="10" t="s">
        <v>29</v>
      </c>
      <c r="G28" s="11"/>
    </row>
    <row r="29" spans="2:19" x14ac:dyDescent="0.25">
      <c r="B29" s="10" t="s">
        <v>19</v>
      </c>
      <c r="C29" s="5">
        <v>1</v>
      </c>
      <c r="F29" s="10" t="s">
        <v>19</v>
      </c>
      <c r="G29" s="11">
        <v>4.58E-2</v>
      </c>
    </row>
    <row r="30" spans="2:19" x14ac:dyDescent="0.25">
      <c r="F30"/>
      <c r="G30"/>
    </row>
    <row r="31" spans="2:19" x14ac:dyDescent="0.25">
      <c r="F31"/>
      <c r="G31"/>
    </row>
    <row r="32" spans="2:19" x14ac:dyDescent="0.25">
      <c r="F32"/>
      <c r="G32"/>
    </row>
    <row r="33" spans="6:7" x14ac:dyDescent="0.25">
      <c r="F33"/>
      <c r="G33"/>
    </row>
    <row r="34" spans="6:7" x14ac:dyDescent="0.25">
      <c r="F34"/>
      <c r="G34"/>
    </row>
  </sheetData>
  <pageMargins left="0.511811024" right="0.511811024" top="0.78740157499999996" bottom="0.78740157499999996" header="0.31496062000000002" footer="0.31496062000000002"/>
  <pageSetup paperSize="9" scale="6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">
                <anchor>
                  <from>
                    <xdr:col>12</xdr:col>
                    <xdr:colOff>85725</xdr:colOff>
                    <xdr:row>0</xdr:row>
                    <xdr:rowOff>57150</xdr:rowOff>
                  </from>
                  <to>
                    <xdr:col>13</xdr:col>
                    <xdr:colOff>333375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Lemmi Consultoria</dc:creator>
  <cp:lastModifiedBy>Lemmi Consultoria</cp:lastModifiedBy>
  <cp:lastPrinted>2025-09-02T16:40:54Z</cp:lastPrinted>
  <dcterms:created xsi:type="dcterms:W3CDTF">2025-09-02T12:13:39Z</dcterms:created>
  <dcterms:modified xsi:type="dcterms:W3CDTF">2026-03-23T13:45:37Z</dcterms:modified>
</cp:coreProperties>
</file>